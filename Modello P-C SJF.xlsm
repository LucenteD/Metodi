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Univesità\Metodi (6 cfu)\prog Dylan - Dori\Progetti Marino-Lucente\Modello P-C\"/>
    </mc:Choice>
  </mc:AlternateContent>
  <xr:revisionPtr revIDLastSave="0" documentId="13_ncr:1_{20A56649-BE10-4EF1-8075-0A405A2FC29F}" xr6:coauthVersionLast="45" xr6:coauthVersionMax="45" xr10:uidLastSave="{00000000-0000-0000-0000-000000000000}"/>
  <bookViews>
    <workbookView xWindow="-108" yWindow="-108" windowWidth="23256" windowHeight="12576" tabRatio="596" firstSheet="1" activeTab="5" xr2:uid="{B333F3E1-95F2-4D38-AEE8-2FCB9FA2F138}"/>
  </bookViews>
  <sheets>
    <sheet name="Modello P-C SJF" sheetId="1" r:id="rId1"/>
    <sheet name="Confronto SJF - FIFO" sheetId="2" r:id="rId2"/>
    <sheet name="Int conf interarrivi" sheetId="9" r:id="rId3"/>
    <sheet name="Int conf servizi" sheetId="4" r:id="rId4"/>
    <sheet name="Correlazione" sheetId="5" r:id="rId5"/>
    <sheet name="Test d'ipotesi" sheetId="6" r:id="rId6"/>
    <sheet name="Verifica congestione" sheetId="8" r:id="rId7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" i="1" l="1"/>
  <c r="Q2" i="1"/>
  <c r="S9" i="1"/>
  <c r="T9" i="1"/>
  <c r="U9" i="1"/>
  <c r="S10" i="1"/>
  <c r="T10" i="1"/>
  <c r="U10" i="1"/>
  <c r="S11" i="1"/>
  <c r="T11" i="1"/>
  <c r="U11" i="1"/>
  <c r="S12" i="1"/>
  <c r="T12" i="1"/>
  <c r="U12" i="1"/>
  <c r="S13" i="1"/>
  <c r="T13" i="1"/>
  <c r="U13" i="1"/>
  <c r="S14" i="1"/>
  <c r="T14" i="1"/>
  <c r="U14" i="1"/>
  <c r="S15" i="1"/>
  <c r="T15" i="1"/>
  <c r="U15" i="1"/>
  <c r="S16" i="1"/>
  <c r="T16" i="1"/>
  <c r="U16" i="1"/>
  <c r="S17" i="1"/>
  <c r="T17" i="1"/>
  <c r="U17" i="1"/>
  <c r="S18" i="1"/>
  <c r="T18" i="1"/>
  <c r="U18" i="1"/>
  <c r="S19" i="1"/>
  <c r="T19" i="1"/>
  <c r="U19" i="1"/>
  <c r="S20" i="1"/>
  <c r="T20" i="1"/>
  <c r="U20" i="1"/>
  <c r="S21" i="1"/>
  <c r="T21" i="1"/>
  <c r="U21" i="1"/>
  <c r="S22" i="1"/>
  <c r="T22" i="1"/>
  <c r="U22" i="1"/>
  <c r="S23" i="1"/>
  <c r="T23" i="1"/>
  <c r="U23" i="1"/>
  <c r="S24" i="1"/>
  <c r="T24" i="1"/>
  <c r="U24" i="1"/>
  <c r="S25" i="1"/>
  <c r="T25" i="1"/>
  <c r="U25" i="1"/>
  <c r="S26" i="1"/>
  <c r="T26" i="1"/>
  <c r="U26" i="1"/>
  <c r="S27" i="1"/>
  <c r="T27" i="1"/>
  <c r="U27" i="1"/>
  <c r="S28" i="1"/>
  <c r="T28" i="1"/>
  <c r="U28" i="1"/>
  <c r="S29" i="1"/>
  <c r="T29" i="1"/>
  <c r="U29" i="1"/>
  <c r="S30" i="1"/>
  <c r="T30" i="1"/>
  <c r="U30" i="1"/>
  <c r="S31" i="1"/>
  <c r="T31" i="1"/>
  <c r="U31" i="1"/>
  <c r="S32" i="1"/>
  <c r="T32" i="1"/>
  <c r="U32" i="1"/>
  <c r="S33" i="1"/>
  <c r="T33" i="1"/>
  <c r="U33" i="1"/>
  <c r="S34" i="1"/>
  <c r="T34" i="1"/>
  <c r="U34" i="1"/>
  <c r="S35" i="1"/>
  <c r="T35" i="1"/>
  <c r="U35" i="1"/>
  <c r="S36" i="1"/>
  <c r="T36" i="1"/>
  <c r="U36" i="1"/>
  <c r="S37" i="1"/>
  <c r="T37" i="1"/>
  <c r="U37" i="1"/>
  <c r="S38" i="1"/>
  <c r="T38" i="1"/>
  <c r="U38" i="1"/>
  <c r="S39" i="1"/>
  <c r="T39" i="1"/>
  <c r="U39" i="1"/>
  <c r="S40" i="1"/>
  <c r="T40" i="1"/>
  <c r="U40" i="1"/>
  <c r="S41" i="1"/>
  <c r="T41" i="1"/>
  <c r="U41" i="1"/>
  <c r="S42" i="1"/>
  <c r="T42" i="1"/>
  <c r="U42" i="1"/>
  <c r="S43" i="1"/>
  <c r="T43" i="1"/>
  <c r="U43" i="1"/>
  <c r="S44" i="1"/>
  <c r="T44" i="1"/>
  <c r="U44" i="1"/>
  <c r="S45" i="1"/>
  <c r="T45" i="1"/>
  <c r="U45" i="1"/>
  <c r="S46" i="1"/>
  <c r="T46" i="1"/>
  <c r="U46" i="1"/>
  <c r="S47" i="1"/>
  <c r="T47" i="1"/>
  <c r="U47" i="1"/>
  <c r="S48" i="1"/>
  <c r="T48" i="1"/>
  <c r="U48" i="1"/>
  <c r="S49" i="1"/>
  <c r="T49" i="1"/>
  <c r="U49" i="1"/>
  <c r="S50" i="1"/>
  <c r="T50" i="1"/>
  <c r="U50" i="1"/>
  <c r="S51" i="1"/>
  <c r="T51" i="1"/>
  <c r="U51" i="1"/>
  <c r="S52" i="1"/>
  <c r="T52" i="1"/>
  <c r="U52" i="1"/>
  <c r="S53" i="1"/>
  <c r="T53" i="1"/>
  <c r="U53" i="1"/>
  <c r="S54" i="1"/>
  <c r="T54" i="1"/>
  <c r="U54" i="1"/>
  <c r="S55" i="1"/>
  <c r="T55" i="1"/>
  <c r="U55" i="1"/>
  <c r="S56" i="1"/>
  <c r="T56" i="1"/>
  <c r="U56" i="1"/>
  <c r="S57" i="1"/>
  <c r="T57" i="1"/>
  <c r="U57" i="1"/>
  <c r="S58" i="1"/>
  <c r="T58" i="1"/>
  <c r="U58" i="1"/>
  <c r="S59" i="1"/>
  <c r="T59" i="1"/>
  <c r="U59" i="1"/>
  <c r="S60" i="1"/>
  <c r="T60" i="1"/>
  <c r="U60" i="1"/>
  <c r="S61" i="1"/>
  <c r="T61" i="1"/>
  <c r="U61" i="1"/>
  <c r="S62" i="1"/>
  <c r="T62" i="1"/>
  <c r="U62" i="1"/>
  <c r="S63" i="1"/>
  <c r="T63" i="1"/>
  <c r="U63" i="1"/>
  <c r="S64" i="1"/>
  <c r="T64" i="1"/>
  <c r="U64" i="1"/>
  <c r="S65" i="1"/>
  <c r="T65" i="1"/>
  <c r="U65" i="1"/>
  <c r="S66" i="1"/>
  <c r="T66" i="1"/>
  <c r="U66" i="1"/>
  <c r="S67" i="1"/>
  <c r="T67" i="1"/>
  <c r="U67" i="1"/>
  <c r="S68" i="1"/>
  <c r="T68" i="1"/>
  <c r="U68" i="1"/>
  <c r="S69" i="1"/>
  <c r="T69" i="1"/>
  <c r="U69" i="1"/>
  <c r="S70" i="1"/>
  <c r="T70" i="1"/>
  <c r="U70" i="1"/>
  <c r="S71" i="1"/>
  <c r="T71" i="1"/>
  <c r="U71" i="1"/>
  <c r="S72" i="1"/>
  <c r="T72" i="1"/>
  <c r="U72" i="1"/>
  <c r="S73" i="1"/>
  <c r="T73" i="1"/>
  <c r="U73" i="1"/>
  <c r="S74" i="1"/>
  <c r="T74" i="1"/>
  <c r="U74" i="1"/>
  <c r="S75" i="1"/>
  <c r="T75" i="1"/>
  <c r="U75" i="1"/>
  <c r="S76" i="1"/>
  <c r="T76" i="1"/>
  <c r="U76" i="1"/>
  <c r="S77" i="1"/>
  <c r="T77" i="1"/>
  <c r="U77" i="1"/>
  <c r="S78" i="1"/>
  <c r="T78" i="1"/>
  <c r="U78" i="1"/>
  <c r="S79" i="1"/>
  <c r="T79" i="1"/>
  <c r="U79" i="1"/>
  <c r="S80" i="1"/>
  <c r="T80" i="1"/>
  <c r="U80" i="1"/>
  <c r="S81" i="1"/>
  <c r="T81" i="1"/>
  <c r="U81" i="1"/>
  <c r="S82" i="1"/>
  <c r="T82" i="1"/>
  <c r="U82" i="1"/>
  <c r="S83" i="1"/>
  <c r="T83" i="1"/>
  <c r="U83" i="1"/>
  <c r="S84" i="1"/>
  <c r="T84" i="1"/>
  <c r="U84" i="1"/>
  <c r="S85" i="1"/>
  <c r="T85" i="1"/>
  <c r="U85" i="1"/>
  <c r="S86" i="1"/>
  <c r="T86" i="1"/>
  <c r="U86" i="1"/>
  <c r="S87" i="1"/>
  <c r="T87" i="1"/>
  <c r="U87" i="1"/>
  <c r="S88" i="1"/>
  <c r="T88" i="1"/>
  <c r="U88" i="1"/>
  <c r="S89" i="1"/>
  <c r="T89" i="1"/>
  <c r="U89" i="1"/>
  <c r="S90" i="1"/>
  <c r="T90" i="1"/>
  <c r="U90" i="1"/>
  <c r="S91" i="1"/>
  <c r="T91" i="1"/>
  <c r="U91" i="1"/>
  <c r="S92" i="1"/>
  <c r="T92" i="1"/>
  <c r="U92" i="1"/>
  <c r="S93" i="1"/>
  <c r="T93" i="1"/>
  <c r="U93" i="1"/>
  <c r="S94" i="1"/>
  <c r="T94" i="1"/>
  <c r="U94" i="1"/>
  <c r="S95" i="1"/>
  <c r="T95" i="1"/>
  <c r="U95" i="1"/>
  <c r="S96" i="1"/>
  <c r="T96" i="1"/>
  <c r="U96" i="1"/>
  <c r="S97" i="1"/>
  <c r="T97" i="1"/>
  <c r="U97" i="1"/>
  <c r="S98" i="1"/>
  <c r="T98" i="1"/>
  <c r="U98" i="1"/>
  <c r="S99" i="1"/>
  <c r="T99" i="1"/>
  <c r="U99" i="1"/>
  <c r="S100" i="1"/>
  <c r="T100" i="1"/>
  <c r="U100" i="1"/>
  <c r="S101" i="1"/>
  <c r="T101" i="1"/>
  <c r="U101" i="1"/>
  <c r="S102" i="1"/>
  <c r="T102" i="1"/>
  <c r="U102" i="1"/>
  <c r="S103" i="1"/>
  <c r="T103" i="1"/>
  <c r="U103" i="1"/>
  <c r="S104" i="1"/>
  <c r="T104" i="1"/>
  <c r="U104" i="1"/>
  <c r="S105" i="1"/>
  <c r="T105" i="1"/>
  <c r="U105" i="1"/>
  <c r="S106" i="1"/>
  <c r="T106" i="1"/>
  <c r="U106" i="1"/>
  <c r="S107" i="1"/>
  <c r="T107" i="1"/>
  <c r="U107" i="1"/>
  <c r="S108" i="1"/>
  <c r="T108" i="1"/>
  <c r="U108" i="1"/>
  <c r="S109" i="1"/>
  <c r="T109" i="1"/>
  <c r="U109" i="1"/>
  <c r="S110" i="1"/>
  <c r="T110" i="1"/>
  <c r="U110" i="1"/>
  <c r="S111" i="1"/>
  <c r="T111" i="1"/>
  <c r="U111" i="1"/>
  <c r="S112" i="1"/>
  <c r="T112" i="1"/>
  <c r="U112" i="1"/>
  <c r="S113" i="1"/>
  <c r="T113" i="1"/>
  <c r="U113" i="1"/>
  <c r="S114" i="1"/>
  <c r="T114" i="1"/>
  <c r="U114" i="1"/>
  <c r="S115" i="1"/>
  <c r="T115" i="1"/>
  <c r="U115" i="1"/>
  <c r="S116" i="1"/>
  <c r="T116" i="1"/>
  <c r="U116" i="1"/>
  <c r="S117" i="1"/>
  <c r="T117" i="1"/>
  <c r="U117" i="1"/>
  <c r="S118" i="1"/>
  <c r="T118" i="1"/>
  <c r="U118" i="1"/>
  <c r="S119" i="1"/>
  <c r="T119" i="1"/>
  <c r="U119" i="1"/>
  <c r="S120" i="1"/>
  <c r="T120" i="1"/>
  <c r="U120" i="1"/>
  <c r="S121" i="1"/>
  <c r="T121" i="1"/>
  <c r="U121" i="1"/>
  <c r="S122" i="1"/>
  <c r="T122" i="1"/>
  <c r="U122" i="1"/>
  <c r="S123" i="1"/>
  <c r="T123" i="1"/>
  <c r="U123" i="1"/>
  <c r="S124" i="1"/>
  <c r="T124" i="1"/>
  <c r="U124" i="1"/>
  <c r="S125" i="1"/>
  <c r="T125" i="1"/>
  <c r="U125" i="1"/>
  <c r="S126" i="1"/>
  <c r="T126" i="1"/>
  <c r="U126" i="1"/>
  <c r="S127" i="1"/>
  <c r="T127" i="1"/>
  <c r="U127" i="1"/>
  <c r="S128" i="1"/>
  <c r="T128" i="1"/>
  <c r="U128" i="1"/>
  <c r="S129" i="1"/>
  <c r="T129" i="1"/>
  <c r="U129" i="1"/>
  <c r="S130" i="1"/>
  <c r="T130" i="1"/>
  <c r="U130" i="1"/>
  <c r="S131" i="1"/>
  <c r="T131" i="1"/>
  <c r="U131" i="1"/>
  <c r="S132" i="1"/>
  <c r="T132" i="1"/>
  <c r="U132" i="1"/>
  <c r="S133" i="1"/>
  <c r="T133" i="1"/>
  <c r="U133" i="1"/>
  <c r="S134" i="1"/>
  <c r="T134" i="1"/>
  <c r="U134" i="1"/>
  <c r="S135" i="1"/>
  <c r="T135" i="1"/>
  <c r="U135" i="1"/>
  <c r="S136" i="1"/>
  <c r="T136" i="1"/>
  <c r="U136" i="1"/>
  <c r="S137" i="1"/>
  <c r="T137" i="1"/>
  <c r="U137" i="1"/>
  <c r="S138" i="1"/>
  <c r="T138" i="1"/>
  <c r="U138" i="1"/>
  <c r="S139" i="1"/>
  <c r="T139" i="1"/>
  <c r="U139" i="1"/>
  <c r="S140" i="1"/>
  <c r="T140" i="1"/>
  <c r="U140" i="1"/>
  <c r="S141" i="1"/>
  <c r="T141" i="1"/>
  <c r="U141" i="1"/>
  <c r="S142" i="1"/>
  <c r="T142" i="1"/>
  <c r="U142" i="1"/>
  <c r="S143" i="1"/>
  <c r="T143" i="1"/>
  <c r="U143" i="1"/>
  <c r="S144" i="1"/>
  <c r="T144" i="1"/>
  <c r="U144" i="1"/>
  <c r="S145" i="1"/>
  <c r="T145" i="1"/>
  <c r="U145" i="1"/>
  <c r="S146" i="1"/>
  <c r="T146" i="1"/>
  <c r="U146" i="1"/>
  <c r="S147" i="1"/>
  <c r="T147" i="1"/>
  <c r="U147" i="1"/>
  <c r="S148" i="1"/>
  <c r="T148" i="1"/>
  <c r="U148" i="1"/>
  <c r="S149" i="1"/>
  <c r="T149" i="1"/>
  <c r="U149" i="1"/>
  <c r="S150" i="1"/>
  <c r="T150" i="1"/>
  <c r="U150" i="1"/>
  <c r="S151" i="1"/>
  <c r="T151" i="1"/>
  <c r="U151" i="1"/>
  <c r="S152" i="1"/>
  <c r="T152" i="1"/>
  <c r="U152" i="1"/>
  <c r="S153" i="1"/>
  <c r="T153" i="1"/>
  <c r="U153" i="1"/>
  <c r="S154" i="1"/>
  <c r="T154" i="1"/>
  <c r="U154" i="1"/>
  <c r="S155" i="1"/>
  <c r="T155" i="1"/>
  <c r="U155" i="1"/>
  <c r="S156" i="1"/>
  <c r="T156" i="1"/>
  <c r="U156" i="1"/>
  <c r="S157" i="1"/>
  <c r="T157" i="1"/>
  <c r="U157" i="1"/>
  <c r="S158" i="1"/>
  <c r="T158" i="1"/>
  <c r="U158" i="1"/>
  <c r="S159" i="1"/>
  <c r="T159" i="1"/>
  <c r="U159" i="1"/>
  <c r="S160" i="1"/>
  <c r="T160" i="1"/>
  <c r="U160" i="1"/>
  <c r="S161" i="1"/>
  <c r="T161" i="1"/>
  <c r="U161" i="1"/>
  <c r="S162" i="1"/>
  <c r="T162" i="1"/>
  <c r="U162" i="1"/>
  <c r="S163" i="1"/>
  <c r="T163" i="1"/>
  <c r="U163" i="1"/>
  <c r="S164" i="1"/>
  <c r="T164" i="1"/>
  <c r="U164" i="1"/>
  <c r="S165" i="1"/>
  <c r="T165" i="1"/>
  <c r="U165" i="1"/>
  <c r="S166" i="1"/>
  <c r="T166" i="1"/>
  <c r="U166" i="1"/>
  <c r="S167" i="1"/>
  <c r="T167" i="1"/>
  <c r="U167" i="1"/>
  <c r="S168" i="1"/>
  <c r="T168" i="1"/>
  <c r="U168" i="1"/>
  <c r="S169" i="1"/>
  <c r="T169" i="1"/>
  <c r="U169" i="1"/>
  <c r="S170" i="1"/>
  <c r="T170" i="1"/>
  <c r="U170" i="1"/>
  <c r="S171" i="1"/>
  <c r="T171" i="1"/>
  <c r="U171" i="1"/>
  <c r="S172" i="1"/>
  <c r="T172" i="1"/>
  <c r="U172" i="1"/>
  <c r="S173" i="1"/>
  <c r="T173" i="1"/>
  <c r="U173" i="1"/>
  <c r="S174" i="1"/>
  <c r="T174" i="1"/>
  <c r="U174" i="1"/>
  <c r="S175" i="1"/>
  <c r="T175" i="1"/>
  <c r="U175" i="1"/>
  <c r="S176" i="1"/>
  <c r="T176" i="1"/>
  <c r="U176" i="1"/>
  <c r="S177" i="1"/>
  <c r="T177" i="1"/>
  <c r="U177" i="1"/>
  <c r="S178" i="1"/>
  <c r="T178" i="1"/>
  <c r="U178" i="1"/>
  <c r="S179" i="1"/>
  <c r="T179" i="1"/>
  <c r="U179" i="1"/>
  <c r="S180" i="1"/>
  <c r="T180" i="1"/>
  <c r="U180" i="1"/>
  <c r="S181" i="1"/>
  <c r="T181" i="1"/>
  <c r="U181" i="1"/>
  <c r="S182" i="1"/>
  <c r="T182" i="1"/>
  <c r="U182" i="1"/>
  <c r="S183" i="1"/>
  <c r="T183" i="1"/>
  <c r="U183" i="1"/>
  <c r="S184" i="1"/>
  <c r="T184" i="1"/>
  <c r="U184" i="1"/>
  <c r="S185" i="1"/>
  <c r="T185" i="1"/>
  <c r="U185" i="1"/>
  <c r="S186" i="1"/>
  <c r="T186" i="1"/>
  <c r="U186" i="1"/>
  <c r="S187" i="1"/>
  <c r="T187" i="1"/>
  <c r="U187" i="1"/>
  <c r="S188" i="1"/>
  <c r="T188" i="1"/>
  <c r="U188" i="1"/>
  <c r="S189" i="1"/>
  <c r="T189" i="1"/>
  <c r="U189" i="1"/>
  <c r="S190" i="1"/>
  <c r="T190" i="1"/>
  <c r="U190" i="1"/>
  <c r="S191" i="1"/>
  <c r="T191" i="1"/>
  <c r="U191" i="1"/>
  <c r="S192" i="1"/>
  <c r="T192" i="1"/>
  <c r="U192" i="1"/>
  <c r="S193" i="1"/>
  <c r="T193" i="1"/>
  <c r="U193" i="1"/>
  <c r="S194" i="1"/>
  <c r="T194" i="1"/>
  <c r="U194" i="1"/>
  <c r="S195" i="1"/>
  <c r="T195" i="1"/>
  <c r="U195" i="1"/>
  <c r="S196" i="1"/>
  <c r="T196" i="1"/>
  <c r="U196" i="1"/>
  <c r="S197" i="1"/>
  <c r="T197" i="1"/>
  <c r="U197" i="1"/>
  <c r="S198" i="1"/>
  <c r="T198" i="1"/>
  <c r="U198" i="1"/>
  <c r="S199" i="1"/>
  <c r="T199" i="1"/>
  <c r="U199" i="1"/>
  <c r="S200" i="1"/>
  <c r="T200" i="1"/>
  <c r="U200" i="1"/>
  <c r="S201" i="1"/>
  <c r="T201" i="1"/>
  <c r="U201" i="1"/>
  <c r="S202" i="1"/>
  <c r="T202" i="1"/>
  <c r="U202" i="1"/>
  <c r="S203" i="1"/>
  <c r="T203" i="1"/>
  <c r="U203" i="1"/>
  <c r="S204" i="1"/>
  <c r="T204" i="1"/>
  <c r="U204" i="1"/>
  <c r="S205" i="1"/>
  <c r="T205" i="1"/>
  <c r="U205" i="1"/>
  <c r="S206" i="1"/>
  <c r="T206" i="1"/>
  <c r="U206" i="1"/>
  <c r="S207" i="1"/>
  <c r="T207" i="1"/>
  <c r="U207" i="1"/>
  <c r="S208" i="1"/>
  <c r="T208" i="1"/>
  <c r="U208" i="1"/>
  <c r="U2" i="1"/>
  <c r="Y2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Q3" i="1"/>
  <c r="Y3" i="1"/>
  <c r="Q4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Q5" i="1"/>
  <c r="Y9" i="1"/>
  <c r="Z9" i="1"/>
  <c r="X10" i="1"/>
  <c r="Y10" i="1"/>
  <c r="Z10" i="1"/>
  <c r="X11" i="1"/>
  <c r="Y11" i="1"/>
  <c r="Z11" i="1"/>
  <c r="X12" i="1"/>
  <c r="Y12" i="1"/>
  <c r="Z12" i="1"/>
  <c r="X13" i="1"/>
  <c r="Y13" i="1"/>
  <c r="Z13" i="1"/>
  <c r="X14" i="1"/>
  <c r="Y14" i="1"/>
  <c r="Z14" i="1"/>
  <c r="X15" i="1"/>
  <c r="Y15" i="1"/>
  <c r="Z15" i="1"/>
  <c r="X16" i="1"/>
  <c r="Y16" i="1"/>
  <c r="Z16" i="1"/>
  <c r="X17" i="1"/>
  <c r="Y17" i="1"/>
  <c r="Z17" i="1"/>
  <c r="X18" i="1"/>
  <c r="Y18" i="1"/>
  <c r="Z18" i="1"/>
  <c r="X19" i="1"/>
  <c r="Y19" i="1"/>
  <c r="Z19" i="1"/>
  <c r="X20" i="1"/>
  <c r="Y20" i="1"/>
  <c r="Z20" i="1"/>
  <c r="X21" i="1"/>
  <c r="Y21" i="1"/>
  <c r="Z21" i="1"/>
  <c r="X22" i="1"/>
  <c r="Y22" i="1"/>
  <c r="Z22" i="1"/>
  <c r="X23" i="1"/>
  <c r="Y23" i="1"/>
  <c r="Z23" i="1"/>
  <c r="X24" i="1"/>
  <c r="Y24" i="1"/>
  <c r="Z24" i="1"/>
  <c r="X25" i="1"/>
  <c r="Y25" i="1"/>
  <c r="Z25" i="1"/>
  <c r="X26" i="1"/>
  <c r="Y26" i="1"/>
  <c r="Z26" i="1"/>
  <c r="X27" i="1"/>
  <c r="Y27" i="1"/>
  <c r="Z27" i="1"/>
  <c r="X28" i="1"/>
  <c r="Y28" i="1"/>
  <c r="Z28" i="1"/>
  <c r="Z30" i="1"/>
  <c r="Q28" i="9" l="1"/>
  <c r="J28" i="9"/>
  <c r="Q26" i="9"/>
  <c r="E2" i="9"/>
  <c r="M32" i="9" s="1"/>
  <c r="Q28" i="4"/>
  <c r="Q26" i="4"/>
  <c r="E4" i="9" l="1"/>
  <c r="T32" i="9" s="1"/>
  <c r="J43" i="9"/>
  <c r="K43" i="9" s="1"/>
  <c r="E2" i="1" l="1"/>
  <c r="I2" i="1"/>
  <c r="C9" i="1"/>
  <c r="C10" i="1"/>
  <c r="C11" i="1"/>
  <c r="C12" i="1"/>
  <c r="C13" i="1"/>
  <c r="C14" i="1"/>
  <c r="C15" i="1"/>
  <c r="D15" i="1" s="1"/>
  <c r="B9" i="9" s="1"/>
  <c r="C16" i="1"/>
  <c r="C17" i="1"/>
  <c r="C18" i="1"/>
  <c r="C19" i="1"/>
  <c r="C20" i="1"/>
  <c r="C21" i="1"/>
  <c r="C22" i="1"/>
  <c r="C23" i="1"/>
  <c r="D23" i="1" s="1"/>
  <c r="B17" i="9" s="1"/>
  <c r="C24" i="1"/>
  <c r="C25" i="1"/>
  <c r="C26" i="1"/>
  <c r="C27" i="1"/>
  <c r="C28" i="1"/>
  <c r="C29" i="1"/>
  <c r="D29" i="1" s="1"/>
  <c r="B23" i="9" s="1"/>
  <c r="C30" i="1"/>
  <c r="C31" i="1"/>
  <c r="D31" i="1" s="1"/>
  <c r="B25" i="9" s="1"/>
  <c r="C32" i="1"/>
  <c r="C33" i="1"/>
  <c r="C34" i="1"/>
  <c r="C35" i="1"/>
  <c r="C36" i="1"/>
  <c r="C37" i="1"/>
  <c r="D37" i="1" s="1"/>
  <c r="B31" i="9" s="1"/>
  <c r="C38" i="1"/>
  <c r="C39" i="1"/>
  <c r="D39" i="1" s="1"/>
  <c r="B33" i="9" s="1"/>
  <c r="C40" i="1"/>
  <c r="C41" i="1"/>
  <c r="C42" i="1"/>
  <c r="C43" i="1"/>
  <c r="C44" i="1"/>
  <c r="C45" i="1"/>
  <c r="D45" i="1" s="1"/>
  <c r="B39" i="9" s="1"/>
  <c r="C46" i="1"/>
  <c r="C47" i="1"/>
  <c r="D47" i="1" s="1"/>
  <c r="B41" i="9" s="1"/>
  <c r="C48" i="1"/>
  <c r="C49" i="1"/>
  <c r="C50" i="1"/>
  <c r="C51" i="1"/>
  <c r="C52" i="1"/>
  <c r="C53" i="1"/>
  <c r="D53" i="1" s="1"/>
  <c r="B47" i="9" s="1"/>
  <c r="C54" i="1"/>
  <c r="C55" i="1"/>
  <c r="D55" i="1" s="1"/>
  <c r="B49" i="9" s="1"/>
  <c r="C56" i="1"/>
  <c r="C57" i="1"/>
  <c r="C58" i="1"/>
  <c r="C59" i="1"/>
  <c r="C60" i="1"/>
  <c r="C61" i="1"/>
  <c r="D61" i="1" s="1"/>
  <c r="B55" i="9" s="1"/>
  <c r="C62" i="1"/>
  <c r="C63" i="1"/>
  <c r="D63" i="1" s="1"/>
  <c r="B57" i="9" s="1"/>
  <c r="C64" i="1"/>
  <c r="C65" i="1"/>
  <c r="C66" i="1"/>
  <c r="C67" i="1"/>
  <c r="C68" i="1"/>
  <c r="C69" i="1"/>
  <c r="D69" i="1" s="1"/>
  <c r="B63" i="9" s="1"/>
  <c r="C70" i="1"/>
  <c r="C71" i="1"/>
  <c r="D71" i="1" s="1"/>
  <c r="B65" i="9" s="1"/>
  <c r="C72" i="1"/>
  <c r="C73" i="1"/>
  <c r="C74" i="1"/>
  <c r="C75" i="1"/>
  <c r="C76" i="1"/>
  <c r="C77" i="1"/>
  <c r="D77" i="1" s="1"/>
  <c r="B71" i="9" s="1"/>
  <c r="C78" i="1"/>
  <c r="C79" i="1"/>
  <c r="D79" i="1" s="1"/>
  <c r="B73" i="9" s="1"/>
  <c r="C80" i="1"/>
  <c r="C81" i="1"/>
  <c r="C82" i="1"/>
  <c r="C83" i="1"/>
  <c r="C84" i="1"/>
  <c r="C85" i="1"/>
  <c r="D85" i="1" s="1"/>
  <c r="B79" i="9" s="1"/>
  <c r="C86" i="1"/>
  <c r="C87" i="1"/>
  <c r="D87" i="1" s="1"/>
  <c r="B81" i="9" s="1"/>
  <c r="C88" i="1"/>
  <c r="C89" i="1"/>
  <c r="C90" i="1"/>
  <c r="C91" i="1"/>
  <c r="C92" i="1"/>
  <c r="C93" i="1"/>
  <c r="D93" i="1" s="1"/>
  <c r="B87" i="9" s="1"/>
  <c r="C94" i="1"/>
  <c r="C95" i="1"/>
  <c r="D95" i="1" s="1"/>
  <c r="B89" i="9" s="1"/>
  <c r="C96" i="1"/>
  <c r="C97" i="1"/>
  <c r="C98" i="1"/>
  <c r="C99" i="1"/>
  <c r="C100" i="1"/>
  <c r="C101" i="1"/>
  <c r="D101" i="1" s="1"/>
  <c r="B95" i="9" s="1"/>
  <c r="C102" i="1"/>
  <c r="C103" i="1"/>
  <c r="D103" i="1" s="1"/>
  <c r="B97" i="9" s="1"/>
  <c r="C104" i="1"/>
  <c r="C105" i="1"/>
  <c r="C106" i="1"/>
  <c r="C107" i="1"/>
  <c r="C108" i="1"/>
  <c r="C109" i="1"/>
  <c r="D109" i="1" s="1"/>
  <c r="B103" i="9" s="1"/>
  <c r="C110" i="1"/>
  <c r="C111" i="1"/>
  <c r="D111" i="1" s="1"/>
  <c r="B105" i="9" s="1"/>
  <c r="C112" i="1"/>
  <c r="C113" i="1"/>
  <c r="C114" i="1"/>
  <c r="C115" i="1"/>
  <c r="C116" i="1"/>
  <c r="C117" i="1"/>
  <c r="D117" i="1" s="1"/>
  <c r="B111" i="9" s="1"/>
  <c r="C118" i="1"/>
  <c r="C119" i="1"/>
  <c r="D119" i="1" s="1"/>
  <c r="B113" i="9" s="1"/>
  <c r="C120" i="1"/>
  <c r="C121" i="1"/>
  <c r="C122" i="1"/>
  <c r="C123" i="1"/>
  <c r="C124" i="1"/>
  <c r="C125" i="1"/>
  <c r="D125" i="1" s="1"/>
  <c r="B119" i="9" s="1"/>
  <c r="C126" i="1"/>
  <c r="C127" i="1"/>
  <c r="D127" i="1" s="1"/>
  <c r="B121" i="9" s="1"/>
  <c r="C128" i="1"/>
  <c r="C129" i="1"/>
  <c r="D129" i="1" s="1"/>
  <c r="B123" i="9" s="1"/>
  <c r="C130" i="1"/>
  <c r="C131" i="1"/>
  <c r="C132" i="1"/>
  <c r="C133" i="1"/>
  <c r="D133" i="1" s="1"/>
  <c r="B127" i="9" s="1"/>
  <c r="C134" i="1"/>
  <c r="C135" i="1"/>
  <c r="D135" i="1" s="1"/>
  <c r="B129" i="9" s="1"/>
  <c r="C136" i="1"/>
  <c r="C137" i="1"/>
  <c r="D137" i="1" s="1"/>
  <c r="B131" i="9" s="1"/>
  <c r="C138" i="1"/>
  <c r="C139" i="1"/>
  <c r="C140" i="1"/>
  <c r="C141" i="1"/>
  <c r="D141" i="1" s="1"/>
  <c r="B135" i="9" s="1"/>
  <c r="C142" i="1"/>
  <c r="C143" i="1"/>
  <c r="D143" i="1" s="1"/>
  <c r="B137" i="9" s="1"/>
  <c r="C144" i="1"/>
  <c r="C145" i="1"/>
  <c r="D145" i="1" s="1"/>
  <c r="B139" i="9" s="1"/>
  <c r="C146" i="1"/>
  <c r="C147" i="1"/>
  <c r="C148" i="1"/>
  <c r="C149" i="1"/>
  <c r="D149" i="1" s="1"/>
  <c r="B143" i="9" s="1"/>
  <c r="C150" i="1"/>
  <c r="C151" i="1"/>
  <c r="D151" i="1" s="1"/>
  <c r="B145" i="9" s="1"/>
  <c r="C152" i="1"/>
  <c r="C153" i="1"/>
  <c r="D153" i="1" s="1"/>
  <c r="B147" i="9" s="1"/>
  <c r="C154" i="1"/>
  <c r="C155" i="1"/>
  <c r="C156" i="1"/>
  <c r="C157" i="1"/>
  <c r="D157" i="1" s="1"/>
  <c r="B151" i="9" s="1"/>
  <c r="C158" i="1"/>
  <c r="C159" i="1"/>
  <c r="D159" i="1" s="1"/>
  <c r="B153" i="9" s="1"/>
  <c r="C160" i="1"/>
  <c r="C161" i="1"/>
  <c r="D161" i="1" s="1"/>
  <c r="B155" i="9" s="1"/>
  <c r="C162" i="1"/>
  <c r="C163" i="1"/>
  <c r="C164" i="1"/>
  <c r="C165" i="1"/>
  <c r="D165" i="1" s="1"/>
  <c r="B159" i="9" s="1"/>
  <c r="C166" i="1"/>
  <c r="C167" i="1"/>
  <c r="D167" i="1" s="1"/>
  <c r="B161" i="9" s="1"/>
  <c r="C168" i="1"/>
  <c r="C169" i="1"/>
  <c r="D169" i="1" s="1"/>
  <c r="B163" i="9" s="1"/>
  <c r="C170" i="1"/>
  <c r="C171" i="1"/>
  <c r="C172" i="1"/>
  <c r="C173" i="1"/>
  <c r="D173" i="1" s="1"/>
  <c r="B167" i="9" s="1"/>
  <c r="C174" i="1"/>
  <c r="C175" i="1"/>
  <c r="D175" i="1" s="1"/>
  <c r="B169" i="9" s="1"/>
  <c r="C176" i="1"/>
  <c r="C177" i="1"/>
  <c r="D177" i="1" s="1"/>
  <c r="B171" i="9" s="1"/>
  <c r="C178" i="1"/>
  <c r="D178" i="1" s="1"/>
  <c r="B172" i="9" s="1"/>
  <c r="C179" i="1"/>
  <c r="D179" i="1" s="1"/>
  <c r="B173" i="9" s="1"/>
  <c r="C180" i="1"/>
  <c r="C181" i="1"/>
  <c r="D181" i="1" s="1"/>
  <c r="B175" i="9" s="1"/>
  <c r="C182" i="1"/>
  <c r="D182" i="1" s="1"/>
  <c r="B176" i="9" s="1"/>
  <c r="C183" i="1"/>
  <c r="D183" i="1" s="1"/>
  <c r="B177" i="9" s="1"/>
  <c r="C184" i="1"/>
  <c r="C185" i="1"/>
  <c r="D185" i="1" s="1"/>
  <c r="B179" i="9" s="1"/>
  <c r="C186" i="1"/>
  <c r="D186" i="1" s="1"/>
  <c r="B180" i="9" s="1"/>
  <c r="C187" i="1"/>
  <c r="D187" i="1" s="1"/>
  <c r="B181" i="9" s="1"/>
  <c r="C188" i="1"/>
  <c r="C189" i="1"/>
  <c r="D189" i="1" s="1"/>
  <c r="B183" i="9" s="1"/>
  <c r="C190" i="1"/>
  <c r="D190" i="1" s="1"/>
  <c r="B184" i="9" s="1"/>
  <c r="C191" i="1"/>
  <c r="D191" i="1" s="1"/>
  <c r="B185" i="9" s="1"/>
  <c r="C192" i="1"/>
  <c r="C193" i="1"/>
  <c r="D193" i="1" s="1"/>
  <c r="B187" i="9" s="1"/>
  <c r="C194" i="1"/>
  <c r="D194" i="1" s="1"/>
  <c r="B188" i="9" s="1"/>
  <c r="C195" i="1"/>
  <c r="D195" i="1" s="1"/>
  <c r="B189" i="9" s="1"/>
  <c r="C196" i="1"/>
  <c r="C197" i="1"/>
  <c r="D197" i="1" s="1"/>
  <c r="B191" i="9" s="1"/>
  <c r="C198" i="1"/>
  <c r="D198" i="1" s="1"/>
  <c r="B192" i="9" s="1"/>
  <c r="C199" i="1"/>
  <c r="D199" i="1" s="1"/>
  <c r="B193" i="9" s="1"/>
  <c r="C200" i="1"/>
  <c r="C201" i="1"/>
  <c r="D201" i="1" s="1"/>
  <c r="B195" i="9" s="1"/>
  <c r="C202" i="1"/>
  <c r="D202" i="1" s="1"/>
  <c r="B196" i="9" s="1"/>
  <c r="C203" i="1"/>
  <c r="D203" i="1" s="1"/>
  <c r="B197" i="9" s="1"/>
  <c r="C204" i="1"/>
  <c r="C205" i="1"/>
  <c r="D205" i="1" s="1"/>
  <c r="B199" i="9" s="1"/>
  <c r="C206" i="1"/>
  <c r="D206" i="1" s="1"/>
  <c r="B200" i="9" s="1"/>
  <c r="C207" i="1"/>
  <c r="D207" i="1" s="1"/>
  <c r="B201" i="9" s="1"/>
  <c r="C208" i="1"/>
  <c r="G9" i="1"/>
  <c r="G10" i="1"/>
  <c r="G11" i="1"/>
  <c r="G12" i="1"/>
  <c r="G13" i="1"/>
  <c r="G14" i="1"/>
  <c r="G15" i="1"/>
  <c r="G16" i="1"/>
  <c r="H16" i="1" s="1"/>
  <c r="G17" i="1"/>
  <c r="G18" i="1"/>
  <c r="G19" i="1"/>
  <c r="G20" i="1"/>
  <c r="G21" i="1"/>
  <c r="G22" i="1"/>
  <c r="G23" i="1"/>
  <c r="G24" i="1"/>
  <c r="H24" i="1" s="1"/>
  <c r="G25" i="1"/>
  <c r="G26" i="1"/>
  <c r="G27" i="1"/>
  <c r="G28" i="1"/>
  <c r="G29" i="1"/>
  <c r="G30" i="1"/>
  <c r="G31" i="1"/>
  <c r="G32" i="1"/>
  <c r="H32" i="1" s="1"/>
  <c r="G33" i="1"/>
  <c r="G34" i="1"/>
  <c r="G35" i="1"/>
  <c r="G36" i="1"/>
  <c r="G37" i="1"/>
  <c r="G38" i="1"/>
  <c r="G39" i="1"/>
  <c r="G40" i="1"/>
  <c r="H40" i="1" s="1"/>
  <c r="G41" i="1"/>
  <c r="G42" i="1"/>
  <c r="G43" i="1"/>
  <c r="G44" i="1"/>
  <c r="G45" i="1"/>
  <c r="G46" i="1"/>
  <c r="G47" i="1"/>
  <c r="G48" i="1"/>
  <c r="H48" i="1" s="1"/>
  <c r="G49" i="1"/>
  <c r="G50" i="1"/>
  <c r="G51" i="1"/>
  <c r="G52" i="1"/>
  <c r="G53" i="1"/>
  <c r="G54" i="1"/>
  <c r="G55" i="1"/>
  <c r="G56" i="1"/>
  <c r="H56" i="1" s="1"/>
  <c r="G57" i="1"/>
  <c r="G58" i="1"/>
  <c r="G59" i="1"/>
  <c r="G60" i="1"/>
  <c r="G61" i="1"/>
  <c r="G62" i="1"/>
  <c r="G63" i="1"/>
  <c r="G64" i="1"/>
  <c r="H64" i="1" s="1"/>
  <c r="G65" i="1"/>
  <c r="G66" i="1"/>
  <c r="G67" i="1"/>
  <c r="G68" i="1"/>
  <c r="G69" i="1"/>
  <c r="G70" i="1"/>
  <c r="G71" i="1"/>
  <c r="G72" i="1"/>
  <c r="H72" i="1" s="1"/>
  <c r="G73" i="1"/>
  <c r="G74" i="1"/>
  <c r="H74" i="1" s="1"/>
  <c r="G75" i="1"/>
  <c r="G76" i="1"/>
  <c r="G77" i="1"/>
  <c r="G78" i="1"/>
  <c r="G79" i="1"/>
  <c r="G80" i="1"/>
  <c r="H80" i="1" s="1"/>
  <c r="G81" i="1"/>
  <c r="G82" i="1"/>
  <c r="H82" i="1" s="1"/>
  <c r="G83" i="1"/>
  <c r="G84" i="1"/>
  <c r="G85" i="1"/>
  <c r="G86" i="1"/>
  <c r="G87" i="1"/>
  <c r="G88" i="1"/>
  <c r="H88" i="1" s="1"/>
  <c r="G89" i="1"/>
  <c r="G90" i="1"/>
  <c r="H90" i="1" s="1"/>
  <c r="G91" i="1"/>
  <c r="G92" i="1"/>
  <c r="G93" i="1"/>
  <c r="G94" i="1"/>
  <c r="G95" i="1"/>
  <c r="G96" i="1"/>
  <c r="H96" i="1" s="1"/>
  <c r="G97" i="1"/>
  <c r="G98" i="1"/>
  <c r="H98" i="1" s="1"/>
  <c r="G99" i="1"/>
  <c r="G100" i="1"/>
  <c r="G101" i="1"/>
  <c r="G102" i="1"/>
  <c r="G103" i="1"/>
  <c r="G104" i="1"/>
  <c r="H104" i="1" s="1"/>
  <c r="G105" i="1"/>
  <c r="G106" i="1"/>
  <c r="H106" i="1" s="1"/>
  <c r="G107" i="1"/>
  <c r="G108" i="1"/>
  <c r="G109" i="1"/>
  <c r="G110" i="1"/>
  <c r="G111" i="1"/>
  <c r="G112" i="1"/>
  <c r="H112" i="1" s="1"/>
  <c r="G113" i="1"/>
  <c r="G114" i="1"/>
  <c r="H114" i="1" s="1"/>
  <c r="G115" i="1"/>
  <c r="G116" i="1"/>
  <c r="G117" i="1"/>
  <c r="G118" i="1"/>
  <c r="G119" i="1"/>
  <c r="G120" i="1"/>
  <c r="H120" i="1" s="1"/>
  <c r="G121" i="1"/>
  <c r="G122" i="1"/>
  <c r="H122" i="1" s="1"/>
  <c r="G123" i="1"/>
  <c r="G124" i="1"/>
  <c r="G125" i="1"/>
  <c r="G126" i="1"/>
  <c r="G127" i="1"/>
  <c r="G128" i="1"/>
  <c r="H128" i="1" s="1"/>
  <c r="G129" i="1"/>
  <c r="G130" i="1"/>
  <c r="H130" i="1" s="1"/>
  <c r="G131" i="1"/>
  <c r="G132" i="1"/>
  <c r="G133" i="1"/>
  <c r="G134" i="1"/>
  <c r="G135" i="1"/>
  <c r="G136" i="1"/>
  <c r="H136" i="1" s="1"/>
  <c r="G137" i="1"/>
  <c r="G138" i="1"/>
  <c r="H138" i="1" s="1"/>
  <c r="G139" i="1"/>
  <c r="G140" i="1"/>
  <c r="G141" i="1"/>
  <c r="G142" i="1"/>
  <c r="G143" i="1"/>
  <c r="G144" i="1"/>
  <c r="H144" i="1" s="1"/>
  <c r="G145" i="1"/>
  <c r="G146" i="1"/>
  <c r="H146" i="1" s="1"/>
  <c r="G147" i="1"/>
  <c r="G148" i="1"/>
  <c r="G149" i="1"/>
  <c r="G150" i="1"/>
  <c r="G151" i="1"/>
  <c r="G152" i="1"/>
  <c r="H152" i="1" s="1"/>
  <c r="G153" i="1"/>
  <c r="G154" i="1"/>
  <c r="H154" i="1" s="1"/>
  <c r="G155" i="1"/>
  <c r="G156" i="1"/>
  <c r="G157" i="1"/>
  <c r="G158" i="1"/>
  <c r="G159" i="1"/>
  <c r="G160" i="1"/>
  <c r="H160" i="1" s="1"/>
  <c r="G161" i="1"/>
  <c r="G162" i="1"/>
  <c r="H162" i="1" s="1"/>
  <c r="G163" i="1"/>
  <c r="G164" i="1"/>
  <c r="G165" i="1"/>
  <c r="G166" i="1"/>
  <c r="G167" i="1"/>
  <c r="G168" i="1"/>
  <c r="H168" i="1" s="1"/>
  <c r="G169" i="1"/>
  <c r="G170" i="1"/>
  <c r="H170" i="1" s="1"/>
  <c r="G171" i="1"/>
  <c r="G172" i="1"/>
  <c r="G173" i="1"/>
  <c r="G174" i="1"/>
  <c r="G175" i="1"/>
  <c r="G176" i="1"/>
  <c r="H176" i="1" s="1"/>
  <c r="G177" i="1"/>
  <c r="G178" i="1"/>
  <c r="H178" i="1" s="1"/>
  <c r="G179" i="1"/>
  <c r="G180" i="1"/>
  <c r="G181" i="1"/>
  <c r="G182" i="1"/>
  <c r="G183" i="1"/>
  <c r="G184" i="1"/>
  <c r="H184" i="1" s="1"/>
  <c r="G185" i="1"/>
  <c r="G186" i="1"/>
  <c r="H186" i="1" s="1"/>
  <c r="G187" i="1"/>
  <c r="G188" i="1"/>
  <c r="G189" i="1"/>
  <c r="G190" i="1"/>
  <c r="G191" i="1"/>
  <c r="G192" i="1"/>
  <c r="H192" i="1" s="1"/>
  <c r="G193" i="1"/>
  <c r="G194" i="1"/>
  <c r="H194" i="1" s="1"/>
  <c r="G195" i="1"/>
  <c r="G196" i="1"/>
  <c r="G197" i="1"/>
  <c r="G198" i="1"/>
  <c r="G199" i="1"/>
  <c r="G200" i="1"/>
  <c r="H200" i="1" s="1"/>
  <c r="G201" i="1"/>
  <c r="G202" i="1"/>
  <c r="H202" i="1" s="1"/>
  <c r="G203" i="1"/>
  <c r="G204" i="1"/>
  <c r="G205" i="1"/>
  <c r="G206" i="1"/>
  <c r="G207" i="1"/>
  <c r="G208" i="1"/>
  <c r="H208" i="1" s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J28" i="4"/>
  <c r="E2" i="4"/>
  <c r="E4" i="4" s="1"/>
  <c r="T32" i="4" s="1"/>
  <c r="D21" i="1" l="1"/>
  <c r="B15" i="9" s="1"/>
  <c r="D121" i="1"/>
  <c r="B115" i="9" s="1"/>
  <c r="D13" i="1"/>
  <c r="B7" i="9" s="1"/>
  <c r="H205" i="1"/>
  <c r="H189" i="1"/>
  <c r="H173" i="1"/>
  <c r="H157" i="1"/>
  <c r="H141" i="1"/>
  <c r="H204" i="1"/>
  <c r="H196" i="1"/>
  <c r="H188" i="1"/>
  <c r="H180" i="1"/>
  <c r="H172" i="1"/>
  <c r="H164" i="1"/>
  <c r="H156" i="1"/>
  <c r="H148" i="1"/>
  <c r="H140" i="1"/>
  <c r="H132" i="1"/>
  <c r="H124" i="1"/>
  <c r="H116" i="1"/>
  <c r="H108" i="1"/>
  <c r="H100" i="1"/>
  <c r="H92" i="1"/>
  <c r="H84" i="1"/>
  <c r="H76" i="1"/>
  <c r="H68" i="1"/>
  <c r="H60" i="1"/>
  <c r="H52" i="1"/>
  <c r="H44" i="1"/>
  <c r="H36" i="1"/>
  <c r="H28" i="1"/>
  <c r="H20" i="1"/>
  <c r="H12" i="1"/>
  <c r="H203" i="1"/>
  <c r="H195" i="1"/>
  <c r="H187" i="1"/>
  <c r="H179" i="1"/>
  <c r="H171" i="1"/>
  <c r="H163" i="1"/>
  <c r="H155" i="1"/>
  <c r="H147" i="1"/>
  <c r="H139" i="1"/>
  <c r="H131" i="1"/>
  <c r="H123" i="1"/>
  <c r="H115" i="1"/>
  <c r="H107" i="1"/>
  <c r="H99" i="1"/>
  <c r="H91" i="1"/>
  <c r="H83" i="1"/>
  <c r="H201" i="1"/>
  <c r="H193" i="1"/>
  <c r="H185" i="1"/>
  <c r="H177" i="1"/>
  <c r="H169" i="1"/>
  <c r="H161" i="1"/>
  <c r="H153" i="1"/>
  <c r="H145" i="1"/>
  <c r="H137" i="1"/>
  <c r="H129" i="1"/>
  <c r="H121" i="1"/>
  <c r="H113" i="1"/>
  <c r="H105" i="1"/>
  <c r="H97" i="1"/>
  <c r="H89" i="1"/>
  <c r="H81" i="1"/>
  <c r="H73" i="1"/>
  <c r="H65" i="1"/>
  <c r="H199" i="1"/>
  <c r="H191" i="1"/>
  <c r="H183" i="1"/>
  <c r="H175" i="1"/>
  <c r="H167" i="1"/>
  <c r="H159" i="1"/>
  <c r="H151" i="1"/>
  <c r="H143" i="1"/>
  <c r="H135" i="1"/>
  <c r="H127" i="1"/>
  <c r="H119" i="1"/>
  <c r="H111" i="1"/>
  <c r="H103" i="1"/>
  <c r="H95" i="1"/>
  <c r="H87" i="1"/>
  <c r="H79" i="1"/>
  <c r="H71" i="1"/>
  <c r="H63" i="1"/>
  <c r="H55" i="1"/>
  <c r="H47" i="1"/>
  <c r="H39" i="1"/>
  <c r="H31" i="1"/>
  <c r="H23" i="1"/>
  <c r="H15" i="1"/>
  <c r="H207" i="1"/>
  <c r="H206" i="1"/>
  <c r="H198" i="1"/>
  <c r="H190" i="1"/>
  <c r="H182" i="1"/>
  <c r="H174" i="1"/>
  <c r="H166" i="1"/>
  <c r="H158" i="1"/>
  <c r="H150" i="1"/>
  <c r="H142" i="1"/>
  <c r="H134" i="1"/>
  <c r="H126" i="1"/>
  <c r="H118" i="1"/>
  <c r="H110" i="1"/>
  <c r="H197" i="1"/>
  <c r="H181" i="1"/>
  <c r="H165" i="1"/>
  <c r="H149" i="1"/>
  <c r="H133" i="1"/>
  <c r="H125" i="1"/>
  <c r="H117" i="1"/>
  <c r="H109" i="1"/>
  <c r="H101" i="1"/>
  <c r="H93" i="1"/>
  <c r="H85" i="1"/>
  <c r="H77" i="1"/>
  <c r="H69" i="1"/>
  <c r="H61" i="1"/>
  <c r="H53" i="1"/>
  <c r="H45" i="1"/>
  <c r="H37" i="1"/>
  <c r="H29" i="1"/>
  <c r="H21" i="1"/>
  <c r="H13" i="1"/>
  <c r="H57" i="1"/>
  <c r="H49" i="1"/>
  <c r="H102" i="1"/>
  <c r="H94" i="1"/>
  <c r="H75" i="1"/>
  <c r="H67" i="1"/>
  <c r="H59" i="1"/>
  <c r="H51" i="1"/>
  <c r="H43" i="1"/>
  <c r="H35" i="1"/>
  <c r="H27" i="1"/>
  <c r="H19" i="1"/>
  <c r="H11" i="1"/>
  <c r="H66" i="1"/>
  <c r="H58" i="1"/>
  <c r="H50" i="1"/>
  <c r="H42" i="1"/>
  <c r="H34" i="1"/>
  <c r="H26" i="1"/>
  <c r="H18" i="1"/>
  <c r="H10" i="1"/>
  <c r="D170" i="1"/>
  <c r="B164" i="9" s="1"/>
  <c r="H41" i="1"/>
  <c r="H33" i="1"/>
  <c r="H25" i="1"/>
  <c r="H17" i="1"/>
  <c r="H9" i="1"/>
  <c r="D113" i="1"/>
  <c r="B107" i="9" s="1"/>
  <c r="D105" i="1"/>
  <c r="B99" i="9" s="1"/>
  <c r="D97" i="1"/>
  <c r="B91" i="9" s="1"/>
  <c r="D89" i="1"/>
  <c r="B83" i="9" s="1"/>
  <c r="D81" i="1"/>
  <c r="B75" i="9" s="1"/>
  <c r="D73" i="1"/>
  <c r="B67" i="9" s="1"/>
  <c r="D65" i="1"/>
  <c r="B59" i="9" s="1"/>
  <c r="D57" i="1"/>
  <c r="B51" i="9" s="1"/>
  <c r="D49" i="1"/>
  <c r="B43" i="9" s="1"/>
  <c r="D41" i="1"/>
  <c r="B35" i="9" s="1"/>
  <c r="D33" i="1"/>
  <c r="B27" i="9" s="1"/>
  <c r="D25" i="1"/>
  <c r="B19" i="9" s="1"/>
  <c r="H86" i="1"/>
  <c r="H78" i="1"/>
  <c r="H70" i="1"/>
  <c r="H62" i="1"/>
  <c r="H54" i="1"/>
  <c r="H46" i="1"/>
  <c r="H38" i="1"/>
  <c r="H30" i="1"/>
  <c r="H22" i="1"/>
  <c r="H14" i="1"/>
  <c r="D174" i="1"/>
  <c r="B168" i="9" s="1"/>
  <c r="D166" i="1"/>
  <c r="B160" i="9" s="1"/>
  <c r="D158" i="1"/>
  <c r="B152" i="9" s="1"/>
  <c r="D204" i="1"/>
  <c r="B198" i="9" s="1"/>
  <c r="D196" i="1"/>
  <c r="B190" i="9" s="1"/>
  <c r="D188" i="1"/>
  <c r="B182" i="9" s="1"/>
  <c r="D180" i="1"/>
  <c r="B174" i="9" s="1"/>
  <c r="D172" i="1"/>
  <c r="B166" i="9" s="1"/>
  <c r="D164" i="1"/>
  <c r="B158" i="9" s="1"/>
  <c r="D156" i="1"/>
  <c r="B150" i="9" s="1"/>
  <c r="D148" i="1"/>
  <c r="B142" i="9" s="1"/>
  <c r="D140" i="1"/>
  <c r="B134" i="9" s="1"/>
  <c r="D132" i="1"/>
  <c r="B126" i="9" s="1"/>
  <c r="D124" i="1"/>
  <c r="B118" i="9" s="1"/>
  <c r="D116" i="1"/>
  <c r="B110" i="9" s="1"/>
  <c r="D171" i="1"/>
  <c r="B165" i="9" s="1"/>
  <c r="D163" i="1"/>
  <c r="B157" i="9" s="1"/>
  <c r="D155" i="1"/>
  <c r="B149" i="9" s="1"/>
  <c r="D147" i="1"/>
  <c r="B141" i="9" s="1"/>
  <c r="D139" i="1"/>
  <c r="B133" i="9" s="1"/>
  <c r="D131" i="1"/>
  <c r="B125" i="9" s="1"/>
  <c r="D123" i="1"/>
  <c r="B117" i="9" s="1"/>
  <c r="D115" i="1"/>
  <c r="B109" i="9" s="1"/>
  <c r="D107" i="1"/>
  <c r="B101" i="9" s="1"/>
  <c r="D162" i="1"/>
  <c r="B156" i="9" s="1"/>
  <c r="D154" i="1"/>
  <c r="B148" i="9" s="1"/>
  <c r="D146" i="1"/>
  <c r="B140" i="9" s="1"/>
  <c r="D138" i="1"/>
  <c r="B132" i="9" s="1"/>
  <c r="D130" i="1"/>
  <c r="B124" i="9" s="1"/>
  <c r="D122" i="1"/>
  <c r="B116" i="9" s="1"/>
  <c r="D114" i="1"/>
  <c r="B108" i="9" s="1"/>
  <c r="D208" i="1"/>
  <c r="B202" i="9" s="1"/>
  <c r="D200" i="1"/>
  <c r="B194" i="9" s="1"/>
  <c r="D192" i="1"/>
  <c r="B186" i="9" s="1"/>
  <c r="D184" i="1"/>
  <c r="B178" i="9" s="1"/>
  <c r="D176" i="1"/>
  <c r="B170" i="9" s="1"/>
  <c r="D168" i="1"/>
  <c r="B162" i="9" s="1"/>
  <c r="D160" i="1"/>
  <c r="B154" i="9" s="1"/>
  <c r="D152" i="1"/>
  <c r="B146" i="9" s="1"/>
  <c r="D144" i="1"/>
  <c r="B138" i="9" s="1"/>
  <c r="D136" i="1"/>
  <c r="B130" i="9" s="1"/>
  <c r="D128" i="1"/>
  <c r="B122" i="9" s="1"/>
  <c r="D120" i="1"/>
  <c r="B114" i="9" s="1"/>
  <c r="D150" i="1"/>
  <c r="B144" i="9" s="1"/>
  <c r="D142" i="1"/>
  <c r="B136" i="9" s="1"/>
  <c r="D134" i="1"/>
  <c r="B128" i="9" s="1"/>
  <c r="D126" i="1"/>
  <c r="B120" i="9" s="1"/>
  <c r="D118" i="1"/>
  <c r="B112" i="9" s="1"/>
  <c r="D110" i="1"/>
  <c r="B104" i="9" s="1"/>
  <c r="D102" i="1"/>
  <c r="B96" i="9" s="1"/>
  <c r="D94" i="1"/>
  <c r="B88" i="9" s="1"/>
  <c r="D108" i="1"/>
  <c r="B102" i="9" s="1"/>
  <c r="D100" i="1"/>
  <c r="B94" i="9" s="1"/>
  <c r="D92" i="1"/>
  <c r="B86" i="9" s="1"/>
  <c r="D84" i="1"/>
  <c r="B78" i="9" s="1"/>
  <c r="D76" i="1"/>
  <c r="B70" i="9" s="1"/>
  <c r="D68" i="1"/>
  <c r="B62" i="9" s="1"/>
  <c r="D60" i="1"/>
  <c r="B54" i="9" s="1"/>
  <c r="D52" i="1"/>
  <c r="B46" i="9" s="1"/>
  <c r="D44" i="1"/>
  <c r="B38" i="9" s="1"/>
  <c r="D36" i="1"/>
  <c r="B30" i="9" s="1"/>
  <c r="D28" i="1"/>
  <c r="B22" i="9" s="1"/>
  <c r="D20" i="1"/>
  <c r="B14" i="9" s="1"/>
  <c r="D12" i="1"/>
  <c r="B6" i="9" s="1"/>
  <c r="D99" i="1"/>
  <c r="B93" i="9" s="1"/>
  <c r="D91" i="1"/>
  <c r="B85" i="9" s="1"/>
  <c r="D83" i="1"/>
  <c r="B77" i="9" s="1"/>
  <c r="D75" i="1"/>
  <c r="B69" i="9" s="1"/>
  <c r="D67" i="1"/>
  <c r="B61" i="9" s="1"/>
  <c r="D59" i="1"/>
  <c r="B53" i="9" s="1"/>
  <c r="D51" i="1"/>
  <c r="B45" i="9" s="1"/>
  <c r="D43" i="1"/>
  <c r="B37" i="9" s="1"/>
  <c r="D35" i="1"/>
  <c r="B29" i="9" s="1"/>
  <c r="D27" i="1"/>
  <c r="B21" i="9" s="1"/>
  <c r="D19" i="1"/>
  <c r="B13" i="9" s="1"/>
  <c r="D106" i="1"/>
  <c r="B100" i="9" s="1"/>
  <c r="D98" i="1"/>
  <c r="B92" i="9" s="1"/>
  <c r="D90" i="1"/>
  <c r="B84" i="9" s="1"/>
  <c r="D82" i="1"/>
  <c r="B76" i="9" s="1"/>
  <c r="D74" i="1"/>
  <c r="B68" i="9" s="1"/>
  <c r="D66" i="1"/>
  <c r="B60" i="9" s="1"/>
  <c r="D58" i="1"/>
  <c r="B52" i="9" s="1"/>
  <c r="D50" i="1"/>
  <c r="B44" i="9" s="1"/>
  <c r="D42" i="1"/>
  <c r="B36" i="9" s="1"/>
  <c r="D34" i="1"/>
  <c r="B28" i="9" s="1"/>
  <c r="D26" i="1"/>
  <c r="B20" i="9" s="1"/>
  <c r="D18" i="1"/>
  <c r="B12" i="9" s="1"/>
  <c r="D112" i="1"/>
  <c r="B106" i="9" s="1"/>
  <c r="D104" i="1"/>
  <c r="B98" i="9" s="1"/>
  <c r="D96" i="1"/>
  <c r="B90" i="9" s="1"/>
  <c r="D88" i="1"/>
  <c r="B82" i="9" s="1"/>
  <c r="D80" i="1"/>
  <c r="B74" i="9" s="1"/>
  <c r="D72" i="1"/>
  <c r="B66" i="9" s="1"/>
  <c r="D64" i="1"/>
  <c r="B58" i="9" s="1"/>
  <c r="D56" i="1"/>
  <c r="B50" i="9" s="1"/>
  <c r="D48" i="1"/>
  <c r="B42" i="9" s="1"/>
  <c r="D40" i="1"/>
  <c r="B34" i="9" s="1"/>
  <c r="D32" i="1"/>
  <c r="B26" i="9" s="1"/>
  <c r="D24" i="1"/>
  <c r="B18" i="9" s="1"/>
  <c r="D16" i="1"/>
  <c r="B10" i="9" s="1"/>
  <c r="D86" i="1"/>
  <c r="B80" i="9" s="1"/>
  <c r="D78" i="1"/>
  <c r="B72" i="9" s="1"/>
  <c r="D70" i="1"/>
  <c r="B64" i="9" s="1"/>
  <c r="D62" i="1"/>
  <c r="B56" i="9" s="1"/>
  <c r="D54" i="1"/>
  <c r="B48" i="9" s="1"/>
  <c r="D46" i="1"/>
  <c r="B40" i="9" s="1"/>
  <c r="D38" i="1"/>
  <c r="B32" i="9" s="1"/>
  <c r="D30" i="1"/>
  <c r="B24" i="9" s="1"/>
  <c r="D22" i="1"/>
  <c r="B16" i="9" s="1"/>
  <c r="D14" i="1"/>
  <c r="B8" i="9" s="1"/>
  <c r="D11" i="1"/>
  <c r="B5" i="9" s="1"/>
  <c r="D17" i="1"/>
  <c r="B11" i="9" s="1"/>
  <c r="D10" i="1"/>
  <c r="B4" i="9" s="1"/>
  <c r="D9" i="1"/>
  <c r="M32" i="4"/>
  <c r="J43" i="4" s="1"/>
  <c r="K43" i="4" s="1"/>
  <c r="Q1" i="2"/>
  <c r="Q2" i="2" s="1"/>
  <c r="E2" i="2"/>
  <c r="I2" i="2"/>
  <c r="A10" i="2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X10" i="2"/>
  <c r="G9" i="2"/>
  <c r="G11" i="2"/>
  <c r="G13" i="2"/>
  <c r="G15" i="2"/>
  <c r="G17" i="2"/>
  <c r="G19" i="2"/>
  <c r="G25" i="2"/>
  <c r="G27" i="2"/>
  <c r="G29" i="2"/>
  <c r="G30" i="2"/>
  <c r="G31" i="2"/>
  <c r="G33" i="2"/>
  <c r="G35" i="2"/>
  <c r="G43" i="2"/>
  <c r="G45" i="2"/>
  <c r="G49" i="2"/>
  <c r="G51" i="2"/>
  <c r="G53" i="2"/>
  <c r="G61" i="2"/>
  <c r="G63" i="2"/>
  <c r="G65" i="2"/>
  <c r="G67" i="2"/>
  <c r="G73" i="2"/>
  <c r="G75" i="2"/>
  <c r="G77" i="2"/>
  <c r="G79" i="2"/>
  <c r="G80" i="2"/>
  <c r="G81" i="2"/>
  <c r="G83" i="2"/>
  <c r="G85" i="2"/>
  <c r="G87" i="2"/>
  <c r="G88" i="2"/>
  <c r="G89" i="2"/>
  <c r="G91" i="2"/>
  <c r="G92" i="2"/>
  <c r="G95" i="2"/>
  <c r="G96" i="2"/>
  <c r="G97" i="2"/>
  <c r="G99" i="2"/>
  <c r="G100" i="2"/>
  <c r="G101" i="2"/>
  <c r="G103" i="2"/>
  <c r="G104" i="2"/>
  <c r="G105" i="2"/>
  <c r="G109" i="2"/>
  <c r="G111" i="2"/>
  <c r="G112" i="2"/>
  <c r="G113" i="2"/>
  <c r="G115" i="2"/>
  <c r="G117" i="2"/>
  <c r="G119" i="2"/>
  <c r="G120" i="2"/>
  <c r="G121" i="2"/>
  <c r="G123" i="2"/>
  <c r="G124" i="2"/>
  <c r="G127" i="2"/>
  <c r="G130" i="2"/>
  <c r="G131" i="2"/>
  <c r="G132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B3" i="9" l="1"/>
  <c r="I3" i="1"/>
  <c r="E9" i="1"/>
  <c r="E3" i="1"/>
  <c r="Q4" i="2"/>
  <c r="H200" i="2"/>
  <c r="C194" i="5" s="1"/>
  <c r="B194" i="4"/>
  <c r="H193" i="2"/>
  <c r="C187" i="5" s="1"/>
  <c r="B187" i="4"/>
  <c r="H136" i="2"/>
  <c r="C130" i="5" s="1"/>
  <c r="B130" i="4"/>
  <c r="H21" i="2"/>
  <c r="C15" i="5" s="1"/>
  <c r="B15" i="4"/>
  <c r="H205" i="2"/>
  <c r="C199" i="5" s="1"/>
  <c r="B199" i="4"/>
  <c r="H177" i="2"/>
  <c r="C171" i="5" s="1"/>
  <c r="B171" i="4"/>
  <c r="H63" i="2"/>
  <c r="C57" i="5" s="1"/>
  <c r="B57" i="4"/>
  <c r="H168" i="2"/>
  <c r="C162" i="5" s="1"/>
  <c r="B162" i="4"/>
  <c r="H161" i="2"/>
  <c r="C155" i="5" s="1"/>
  <c r="B155" i="4"/>
  <c r="H111" i="2"/>
  <c r="C105" i="5" s="1"/>
  <c r="B105" i="4"/>
  <c r="H83" i="2"/>
  <c r="C77" i="5" s="1"/>
  <c r="B77" i="4"/>
  <c r="H31" i="2"/>
  <c r="C25" i="5" s="1"/>
  <c r="B25" i="4"/>
  <c r="H184" i="2"/>
  <c r="C178" i="5" s="1"/>
  <c r="B178" i="4"/>
  <c r="H152" i="2"/>
  <c r="C146" i="5" s="1"/>
  <c r="B146" i="4"/>
  <c r="H145" i="2"/>
  <c r="C139" i="5" s="1"/>
  <c r="B139" i="4"/>
  <c r="C180" i="2"/>
  <c r="C47" i="2"/>
  <c r="C143" i="2"/>
  <c r="G21" i="2"/>
  <c r="C95" i="2"/>
  <c r="C84" i="2"/>
  <c r="C63" i="2"/>
  <c r="C203" i="2"/>
  <c r="G128" i="2"/>
  <c r="C201" i="2"/>
  <c r="C177" i="2"/>
  <c r="C169" i="2"/>
  <c r="C153" i="2"/>
  <c r="C137" i="2"/>
  <c r="C73" i="2"/>
  <c r="C184" i="2"/>
  <c r="C193" i="2"/>
  <c r="C57" i="2"/>
  <c r="C10" i="2"/>
  <c r="G39" i="2"/>
  <c r="G18" i="2"/>
  <c r="C185" i="2"/>
  <c r="C161" i="2"/>
  <c r="C145" i="2"/>
  <c r="C121" i="2"/>
  <c r="C208" i="2"/>
  <c r="C200" i="2"/>
  <c r="C176" i="2"/>
  <c r="C160" i="2"/>
  <c r="C128" i="2"/>
  <c r="C112" i="2"/>
  <c r="C88" i="2"/>
  <c r="C72" i="2"/>
  <c r="C40" i="2"/>
  <c r="C207" i="2"/>
  <c r="C199" i="2"/>
  <c r="C191" i="2"/>
  <c r="C183" i="2"/>
  <c r="C175" i="2"/>
  <c r="C167" i="2"/>
  <c r="C151" i="2"/>
  <c r="C135" i="2"/>
  <c r="C119" i="2"/>
  <c r="C103" i="2"/>
  <c r="C87" i="2"/>
  <c r="C79" i="2"/>
  <c r="C71" i="2"/>
  <c r="C55" i="2"/>
  <c r="C39" i="2"/>
  <c r="C31" i="2"/>
  <c r="C23" i="2"/>
  <c r="C15" i="2"/>
  <c r="G133" i="2"/>
  <c r="G108" i="2"/>
  <c r="G59" i="2"/>
  <c r="G37" i="2"/>
  <c r="C164" i="2"/>
  <c r="C78" i="2"/>
  <c r="C144" i="2"/>
  <c r="C24" i="2"/>
  <c r="C158" i="2"/>
  <c r="C94" i="2"/>
  <c r="C22" i="2"/>
  <c r="C136" i="2"/>
  <c r="C96" i="2"/>
  <c r="C56" i="2"/>
  <c r="C16" i="2"/>
  <c r="G23" i="2"/>
  <c r="C205" i="2"/>
  <c r="C197" i="2"/>
  <c r="C189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G71" i="2"/>
  <c r="G57" i="2"/>
  <c r="C142" i="2"/>
  <c r="C14" i="2"/>
  <c r="C204" i="2"/>
  <c r="C196" i="2"/>
  <c r="C188" i="2"/>
  <c r="C172" i="2"/>
  <c r="C156" i="2"/>
  <c r="C140" i="2"/>
  <c r="C132" i="2"/>
  <c r="C124" i="2"/>
  <c r="C100" i="2"/>
  <c r="C20" i="2"/>
  <c r="G76" i="2"/>
  <c r="C9" i="2"/>
  <c r="C127" i="2"/>
  <c r="C64" i="2"/>
  <c r="C148" i="2"/>
  <c r="C76" i="2"/>
  <c r="C68" i="2"/>
  <c r="C52" i="2"/>
  <c r="C44" i="2"/>
  <c r="C28" i="2"/>
  <c r="C187" i="2"/>
  <c r="C147" i="2"/>
  <c r="C91" i="2"/>
  <c r="G55" i="2"/>
  <c r="G41" i="2"/>
  <c r="C116" i="2"/>
  <c r="C36" i="2"/>
  <c r="C12" i="2"/>
  <c r="C192" i="2"/>
  <c r="C168" i="2"/>
  <c r="C152" i="2"/>
  <c r="C120" i="2"/>
  <c r="C104" i="2"/>
  <c r="C80" i="2"/>
  <c r="C48" i="2"/>
  <c r="C32" i="2"/>
  <c r="C108" i="2"/>
  <c r="C92" i="2"/>
  <c r="C60" i="2"/>
  <c r="C195" i="2"/>
  <c r="C179" i="2"/>
  <c r="C171" i="2"/>
  <c r="C163" i="2"/>
  <c r="C155" i="2"/>
  <c r="C139" i="2"/>
  <c r="C131" i="2"/>
  <c r="C123" i="2"/>
  <c r="C115" i="2"/>
  <c r="C107" i="2"/>
  <c r="C99" i="2"/>
  <c r="C83" i="2"/>
  <c r="C75" i="2"/>
  <c r="C67" i="2"/>
  <c r="C59" i="2"/>
  <c r="C51" i="2"/>
  <c r="C43" i="2"/>
  <c r="C35" i="2"/>
  <c r="C27" i="2"/>
  <c r="C19" i="2"/>
  <c r="G93" i="2"/>
  <c r="G69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1" i="2"/>
  <c r="G129" i="2"/>
  <c r="G47" i="2"/>
  <c r="C111" i="2"/>
  <c r="G64" i="2"/>
  <c r="G16" i="2"/>
  <c r="C129" i="2"/>
  <c r="C118" i="2"/>
  <c r="C102" i="2"/>
  <c r="C81" i="2"/>
  <c r="C65" i="2"/>
  <c r="C38" i="2"/>
  <c r="G102" i="2"/>
  <c r="G58" i="2"/>
  <c r="G125" i="2"/>
  <c r="C159" i="2"/>
  <c r="G107" i="2"/>
  <c r="G74" i="2"/>
  <c r="G32" i="2"/>
  <c r="G26" i="2"/>
  <c r="C198" i="2"/>
  <c r="C182" i="2"/>
  <c r="C166" i="2"/>
  <c r="C150" i="2"/>
  <c r="C134" i="2"/>
  <c r="C86" i="2"/>
  <c r="C49" i="2"/>
  <c r="C33" i="2"/>
  <c r="C17" i="2"/>
  <c r="C113" i="2"/>
  <c r="C97" i="2"/>
  <c r="C70" i="2"/>
  <c r="C54" i="2"/>
  <c r="G106" i="2"/>
  <c r="C206" i="2"/>
  <c r="C25" i="2"/>
  <c r="C174" i="2"/>
  <c r="C110" i="2"/>
  <c r="C89" i="2"/>
  <c r="C46" i="2"/>
  <c r="B4" i="4"/>
  <c r="G10" i="2"/>
  <c r="G84" i="2"/>
  <c r="G48" i="2"/>
  <c r="G42" i="2"/>
  <c r="G116" i="2"/>
  <c r="C190" i="2"/>
  <c r="C126" i="2"/>
  <c r="C105" i="2"/>
  <c r="C62" i="2"/>
  <c r="C41" i="2"/>
  <c r="G110" i="2"/>
  <c r="G78" i="2"/>
  <c r="G68" i="2"/>
  <c r="G52" i="2"/>
  <c r="G36" i="2"/>
  <c r="G20" i="2"/>
  <c r="C30" i="2"/>
  <c r="G114" i="2"/>
  <c r="G82" i="2"/>
  <c r="G62" i="2"/>
  <c r="G46" i="2"/>
  <c r="G14" i="2"/>
  <c r="X11" i="2"/>
  <c r="G118" i="2"/>
  <c r="G86" i="2"/>
  <c r="G72" i="2"/>
  <c r="G56" i="2"/>
  <c r="G40" i="2"/>
  <c r="G24" i="2"/>
  <c r="G122" i="2"/>
  <c r="G90" i="2"/>
  <c r="G66" i="2"/>
  <c r="G50" i="2"/>
  <c r="G34" i="2"/>
  <c r="G126" i="2"/>
  <c r="G94" i="2"/>
  <c r="G60" i="2"/>
  <c r="G44" i="2"/>
  <c r="G28" i="2"/>
  <c r="G12" i="2"/>
  <c r="G98" i="2"/>
  <c r="G70" i="2"/>
  <c r="G54" i="2"/>
  <c r="G38" i="2"/>
  <c r="G22" i="2"/>
  <c r="C195" i="9" l="1"/>
  <c r="F195" i="9" s="1"/>
  <c r="C187" i="9"/>
  <c r="F187" i="9" s="1"/>
  <c r="C179" i="9"/>
  <c r="F179" i="9" s="1"/>
  <c r="C171" i="9"/>
  <c r="F171" i="9" s="1"/>
  <c r="C163" i="9"/>
  <c r="F163" i="9" s="1"/>
  <c r="C155" i="9"/>
  <c r="F155" i="9" s="1"/>
  <c r="C147" i="9"/>
  <c r="F147" i="9" s="1"/>
  <c r="C139" i="9"/>
  <c r="F139" i="9" s="1"/>
  <c r="C131" i="9"/>
  <c r="F131" i="9" s="1"/>
  <c r="C123" i="9"/>
  <c r="F123" i="9" s="1"/>
  <c r="C115" i="9"/>
  <c r="F115" i="9" s="1"/>
  <c r="C107" i="9"/>
  <c r="F107" i="9" s="1"/>
  <c r="C99" i="9"/>
  <c r="F99" i="9" s="1"/>
  <c r="C91" i="9"/>
  <c r="F91" i="9" s="1"/>
  <c r="C83" i="9"/>
  <c r="F83" i="9" s="1"/>
  <c r="C75" i="9"/>
  <c r="F75" i="9" s="1"/>
  <c r="C67" i="9"/>
  <c r="F67" i="9" s="1"/>
  <c r="C59" i="9"/>
  <c r="F59" i="9" s="1"/>
  <c r="C51" i="9"/>
  <c r="F51" i="9" s="1"/>
  <c r="C200" i="9"/>
  <c r="F200" i="9" s="1"/>
  <c r="C192" i="9"/>
  <c r="F192" i="9" s="1"/>
  <c r="C184" i="9"/>
  <c r="F184" i="9" s="1"/>
  <c r="C176" i="9"/>
  <c r="F176" i="9" s="1"/>
  <c r="C168" i="9"/>
  <c r="F168" i="9" s="1"/>
  <c r="C160" i="9"/>
  <c r="F160" i="9" s="1"/>
  <c r="C152" i="9"/>
  <c r="F152" i="9" s="1"/>
  <c r="C144" i="9"/>
  <c r="F144" i="9" s="1"/>
  <c r="C136" i="9"/>
  <c r="F136" i="9" s="1"/>
  <c r="C128" i="9"/>
  <c r="F128" i="9" s="1"/>
  <c r="C120" i="9"/>
  <c r="F120" i="9" s="1"/>
  <c r="C112" i="9"/>
  <c r="F112" i="9" s="1"/>
  <c r="C104" i="9"/>
  <c r="F104" i="9" s="1"/>
  <c r="C96" i="9"/>
  <c r="F96" i="9" s="1"/>
  <c r="C88" i="9"/>
  <c r="F88" i="9" s="1"/>
  <c r="C80" i="9"/>
  <c r="F80" i="9" s="1"/>
  <c r="C72" i="9"/>
  <c r="F72" i="9" s="1"/>
  <c r="C64" i="9"/>
  <c r="F64" i="9" s="1"/>
  <c r="C56" i="9"/>
  <c r="F56" i="9" s="1"/>
  <c r="C48" i="9"/>
  <c r="F48" i="9" s="1"/>
  <c r="C197" i="9"/>
  <c r="F197" i="9" s="1"/>
  <c r="C189" i="9"/>
  <c r="F189" i="9" s="1"/>
  <c r="C181" i="9"/>
  <c r="F181" i="9" s="1"/>
  <c r="C173" i="9"/>
  <c r="F173" i="9" s="1"/>
  <c r="C165" i="9"/>
  <c r="F165" i="9" s="1"/>
  <c r="C157" i="9"/>
  <c r="F157" i="9" s="1"/>
  <c r="C149" i="9"/>
  <c r="F149" i="9" s="1"/>
  <c r="C141" i="9"/>
  <c r="F141" i="9" s="1"/>
  <c r="C133" i="9"/>
  <c r="F133" i="9" s="1"/>
  <c r="C125" i="9"/>
  <c r="F125" i="9" s="1"/>
  <c r="C117" i="9"/>
  <c r="F117" i="9" s="1"/>
  <c r="C109" i="9"/>
  <c r="F109" i="9" s="1"/>
  <c r="C101" i="9"/>
  <c r="F101" i="9" s="1"/>
  <c r="C93" i="9"/>
  <c r="F93" i="9" s="1"/>
  <c r="C85" i="9"/>
  <c r="F85" i="9" s="1"/>
  <c r="C77" i="9"/>
  <c r="F77" i="9" s="1"/>
  <c r="C69" i="9"/>
  <c r="F69" i="9" s="1"/>
  <c r="C61" i="9"/>
  <c r="F61" i="9" s="1"/>
  <c r="C53" i="9"/>
  <c r="F53" i="9" s="1"/>
  <c r="C202" i="9"/>
  <c r="F202" i="9" s="1"/>
  <c r="C194" i="9"/>
  <c r="F194" i="9" s="1"/>
  <c r="C186" i="9"/>
  <c r="F186" i="9" s="1"/>
  <c r="C178" i="9"/>
  <c r="F178" i="9" s="1"/>
  <c r="C170" i="9"/>
  <c r="F170" i="9" s="1"/>
  <c r="C162" i="9"/>
  <c r="F162" i="9" s="1"/>
  <c r="C154" i="9"/>
  <c r="F154" i="9" s="1"/>
  <c r="C146" i="9"/>
  <c r="F146" i="9" s="1"/>
  <c r="C138" i="9"/>
  <c r="F138" i="9" s="1"/>
  <c r="C130" i="9"/>
  <c r="F130" i="9" s="1"/>
  <c r="C122" i="9"/>
  <c r="F122" i="9" s="1"/>
  <c r="C114" i="9"/>
  <c r="F114" i="9" s="1"/>
  <c r="C106" i="9"/>
  <c r="F106" i="9" s="1"/>
  <c r="C98" i="9"/>
  <c r="F98" i="9" s="1"/>
  <c r="C90" i="9"/>
  <c r="F90" i="9" s="1"/>
  <c r="C82" i="9"/>
  <c r="F82" i="9" s="1"/>
  <c r="C74" i="9"/>
  <c r="F74" i="9" s="1"/>
  <c r="C66" i="9"/>
  <c r="F66" i="9" s="1"/>
  <c r="C58" i="9"/>
  <c r="F58" i="9" s="1"/>
  <c r="C201" i="9"/>
  <c r="F201" i="9" s="1"/>
  <c r="C193" i="9"/>
  <c r="F193" i="9" s="1"/>
  <c r="C185" i="9"/>
  <c r="F185" i="9" s="1"/>
  <c r="C177" i="9"/>
  <c r="F177" i="9" s="1"/>
  <c r="C169" i="9"/>
  <c r="F169" i="9" s="1"/>
  <c r="C161" i="9"/>
  <c r="F161" i="9" s="1"/>
  <c r="C153" i="9"/>
  <c r="F153" i="9" s="1"/>
  <c r="C145" i="9"/>
  <c r="F145" i="9" s="1"/>
  <c r="C137" i="9"/>
  <c r="F137" i="9" s="1"/>
  <c r="C129" i="9"/>
  <c r="F129" i="9" s="1"/>
  <c r="C121" i="9"/>
  <c r="F121" i="9" s="1"/>
  <c r="C113" i="9"/>
  <c r="F113" i="9" s="1"/>
  <c r="C105" i="9"/>
  <c r="F105" i="9" s="1"/>
  <c r="C97" i="9"/>
  <c r="F97" i="9" s="1"/>
  <c r="C89" i="9"/>
  <c r="F89" i="9" s="1"/>
  <c r="C81" i="9"/>
  <c r="F81" i="9" s="1"/>
  <c r="C73" i="9"/>
  <c r="F73" i="9" s="1"/>
  <c r="C65" i="9"/>
  <c r="F65" i="9" s="1"/>
  <c r="C57" i="9"/>
  <c r="F57" i="9" s="1"/>
  <c r="C198" i="9"/>
  <c r="F198" i="9" s="1"/>
  <c r="C190" i="9"/>
  <c r="F190" i="9" s="1"/>
  <c r="C182" i="9"/>
  <c r="F182" i="9" s="1"/>
  <c r="C174" i="9"/>
  <c r="F174" i="9" s="1"/>
  <c r="C166" i="9"/>
  <c r="F166" i="9" s="1"/>
  <c r="C158" i="9"/>
  <c r="F158" i="9" s="1"/>
  <c r="C150" i="9"/>
  <c r="F150" i="9" s="1"/>
  <c r="C142" i="9"/>
  <c r="F142" i="9" s="1"/>
  <c r="C134" i="9"/>
  <c r="F134" i="9" s="1"/>
  <c r="C126" i="9"/>
  <c r="F126" i="9" s="1"/>
  <c r="C118" i="9"/>
  <c r="F118" i="9" s="1"/>
  <c r="C110" i="9"/>
  <c r="F110" i="9" s="1"/>
  <c r="C102" i="9"/>
  <c r="F102" i="9" s="1"/>
  <c r="C94" i="9"/>
  <c r="F94" i="9" s="1"/>
  <c r="C86" i="9"/>
  <c r="F86" i="9" s="1"/>
  <c r="C183" i="9"/>
  <c r="F183" i="9" s="1"/>
  <c r="C151" i="9"/>
  <c r="F151" i="9" s="1"/>
  <c r="C119" i="9"/>
  <c r="F119" i="9" s="1"/>
  <c r="C87" i="9"/>
  <c r="F87" i="9" s="1"/>
  <c r="C71" i="9"/>
  <c r="F71" i="9" s="1"/>
  <c r="C52" i="9"/>
  <c r="F52" i="9" s="1"/>
  <c r="C26" i="9"/>
  <c r="F26" i="9" s="1"/>
  <c r="C19" i="9"/>
  <c r="F19" i="9" s="1"/>
  <c r="C11" i="9"/>
  <c r="F11" i="9" s="1"/>
  <c r="C172" i="9"/>
  <c r="F172" i="9" s="1"/>
  <c r="C140" i="9"/>
  <c r="F140" i="9" s="1"/>
  <c r="C108" i="9"/>
  <c r="F108" i="9" s="1"/>
  <c r="C78" i="9"/>
  <c r="F78" i="9" s="1"/>
  <c r="C63" i="9"/>
  <c r="F63" i="9" s="1"/>
  <c r="C44" i="9"/>
  <c r="F44" i="9" s="1"/>
  <c r="C42" i="9"/>
  <c r="F42" i="9" s="1"/>
  <c r="C36" i="9"/>
  <c r="F36" i="9" s="1"/>
  <c r="C32" i="9"/>
  <c r="F32" i="9" s="1"/>
  <c r="C30" i="9"/>
  <c r="F30" i="9" s="1"/>
  <c r="C28" i="9"/>
  <c r="F28" i="9" s="1"/>
  <c r="C24" i="9"/>
  <c r="F24" i="9" s="1"/>
  <c r="C16" i="9"/>
  <c r="F16" i="9" s="1"/>
  <c r="C8" i="9"/>
  <c r="F8" i="9" s="1"/>
  <c r="E3" i="9"/>
  <c r="V3" i="9" s="1"/>
  <c r="C191" i="9"/>
  <c r="F191" i="9" s="1"/>
  <c r="C159" i="9"/>
  <c r="F159" i="9" s="1"/>
  <c r="C127" i="9"/>
  <c r="F127" i="9" s="1"/>
  <c r="C95" i="9"/>
  <c r="F95" i="9" s="1"/>
  <c r="C70" i="9"/>
  <c r="F70" i="9" s="1"/>
  <c r="C47" i="9"/>
  <c r="F47" i="9" s="1"/>
  <c r="C33" i="9"/>
  <c r="F33" i="9" s="1"/>
  <c r="C21" i="9"/>
  <c r="F21" i="9" s="1"/>
  <c r="C13" i="9"/>
  <c r="F13" i="9" s="1"/>
  <c r="C5" i="9"/>
  <c r="F5" i="9" s="1"/>
  <c r="C3" i="9"/>
  <c r="F3" i="9" s="1"/>
  <c r="C180" i="9"/>
  <c r="F180" i="9" s="1"/>
  <c r="C148" i="9"/>
  <c r="F148" i="9" s="1"/>
  <c r="C116" i="9"/>
  <c r="F116" i="9" s="1"/>
  <c r="C84" i="9"/>
  <c r="F84" i="9" s="1"/>
  <c r="C76" i="9"/>
  <c r="F76" i="9" s="1"/>
  <c r="C62" i="9"/>
  <c r="F62" i="9" s="1"/>
  <c r="C55" i="9"/>
  <c r="F55" i="9" s="1"/>
  <c r="C50" i="9"/>
  <c r="F50" i="9" s="1"/>
  <c r="C38" i="9"/>
  <c r="F38" i="9" s="1"/>
  <c r="C18" i="9"/>
  <c r="F18" i="9" s="1"/>
  <c r="C10" i="9"/>
  <c r="F10" i="9" s="1"/>
  <c r="C199" i="9"/>
  <c r="F199" i="9" s="1"/>
  <c r="C167" i="9"/>
  <c r="F167" i="9" s="1"/>
  <c r="C135" i="9"/>
  <c r="F135" i="9" s="1"/>
  <c r="C103" i="9"/>
  <c r="F103" i="9" s="1"/>
  <c r="C68" i="9"/>
  <c r="F68" i="9" s="1"/>
  <c r="C41" i="9"/>
  <c r="F41" i="9" s="1"/>
  <c r="C35" i="9"/>
  <c r="F35" i="9" s="1"/>
  <c r="C29" i="9"/>
  <c r="F29" i="9" s="1"/>
  <c r="C27" i="9"/>
  <c r="F27" i="9" s="1"/>
  <c r="C25" i="9"/>
  <c r="F25" i="9" s="1"/>
  <c r="C23" i="9"/>
  <c r="F23" i="9" s="1"/>
  <c r="C15" i="9"/>
  <c r="F15" i="9" s="1"/>
  <c r="C7" i="9"/>
  <c r="F7" i="9" s="1"/>
  <c r="C175" i="9"/>
  <c r="F175" i="9" s="1"/>
  <c r="C143" i="9"/>
  <c r="F143" i="9" s="1"/>
  <c r="C111" i="9"/>
  <c r="F111" i="9" s="1"/>
  <c r="C49" i="9"/>
  <c r="F49" i="9" s="1"/>
  <c r="C45" i="9"/>
  <c r="F45" i="9" s="1"/>
  <c r="C43" i="9"/>
  <c r="F43" i="9" s="1"/>
  <c r="C39" i="9"/>
  <c r="F39" i="9" s="1"/>
  <c r="C37" i="9"/>
  <c r="F37" i="9" s="1"/>
  <c r="C31" i="9"/>
  <c r="F31" i="9" s="1"/>
  <c r="C196" i="9"/>
  <c r="F196" i="9" s="1"/>
  <c r="C164" i="9"/>
  <c r="F164" i="9" s="1"/>
  <c r="C132" i="9"/>
  <c r="F132" i="9" s="1"/>
  <c r="C100" i="9"/>
  <c r="F100" i="9" s="1"/>
  <c r="C79" i="9"/>
  <c r="F79" i="9" s="1"/>
  <c r="C40" i="9"/>
  <c r="F40" i="9" s="1"/>
  <c r="C34" i="9"/>
  <c r="F34" i="9" s="1"/>
  <c r="C22" i="9"/>
  <c r="F22" i="9" s="1"/>
  <c r="C14" i="9"/>
  <c r="F14" i="9" s="1"/>
  <c r="C6" i="9"/>
  <c r="F6" i="9" s="1"/>
  <c r="C92" i="9"/>
  <c r="F92" i="9" s="1"/>
  <c r="C20" i="9"/>
  <c r="F20" i="9" s="1"/>
  <c r="C9" i="9"/>
  <c r="F9" i="9" s="1"/>
  <c r="C156" i="9"/>
  <c r="F156" i="9" s="1"/>
  <c r="C17" i="9"/>
  <c r="F17" i="9" s="1"/>
  <c r="C60" i="9"/>
  <c r="F60" i="9" s="1"/>
  <c r="C12" i="9"/>
  <c r="F12" i="9" s="1"/>
  <c r="C188" i="9"/>
  <c r="F188" i="9" s="1"/>
  <c r="C46" i="9"/>
  <c r="F46" i="9" s="1"/>
  <c r="C124" i="9"/>
  <c r="F124" i="9" s="1"/>
  <c r="C54" i="9"/>
  <c r="F54" i="9" s="1"/>
  <c r="C4" i="9"/>
  <c r="F4" i="9" s="1"/>
  <c r="E10" i="1"/>
  <c r="H110" i="2"/>
  <c r="C104" i="5" s="1"/>
  <c r="B104" i="4"/>
  <c r="H69" i="2"/>
  <c r="C63" i="5" s="1"/>
  <c r="B63" i="4"/>
  <c r="H23" i="2"/>
  <c r="C17" i="5" s="1"/>
  <c r="B17" i="4"/>
  <c r="H126" i="2"/>
  <c r="C120" i="5" s="1"/>
  <c r="B120" i="4"/>
  <c r="H151" i="2"/>
  <c r="C145" i="5" s="1"/>
  <c r="B145" i="4"/>
  <c r="H42" i="2"/>
  <c r="C36" i="5" s="1"/>
  <c r="B36" i="4"/>
  <c r="H57" i="2"/>
  <c r="C51" i="5" s="1"/>
  <c r="B51" i="4"/>
  <c r="H119" i="2"/>
  <c r="C113" i="5" s="1"/>
  <c r="B113" i="4"/>
  <c r="H158" i="2"/>
  <c r="C152" i="5" s="1"/>
  <c r="B152" i="4"/>
  <c r="H24" i="2"/>
  <c r="C18" i="5" s="1"/>
  <c r="B18" i="4"/>
  <c r="H187" i="2"/>
  <c r="C181" i="5" s="1"/>
  <c r="B181" i="4"/>
  <c r="H114" i="2"/>
  <c r="C108" i="5" s="1"/>
  <c r="B108" i="4"/>
  <c r="H58" i="2"/>
  <c r="C52" i="5" s="1"/>
  <c r="B52" i="4"/>
  <c r="H180" i="2"/>
  <c r="C174" i="5" s="1"/>
  <c r="B174" i="4"/>
  <c r="H101" i="2"/>
  <c r="C95" i="5" s="1"/>
  <c r="B95" i="4"/>
  <c r="H165" i="2"/>
  <c r="C159" i="5" s="1"/>
  <c r="B159" i="4"/>
  <c r="H81" i="2"/>
  <c r="C75" i="5" s="1"/>
  <c r="B75" i="4"/>
  <c r="H132" i="2"/>
  <c r="C126" i="5" s="1"/>
  <c r="B126" i="4"/>
  <c r="H115" i="2"/>
  <c r="C109" i="5" s="1"/>
  <c r="B109" i="4"/>
  <c r="H113" i="2"/>
  <c r="C107" i="5" s="1"/>
  <c r="B107" i="4"/>
  <c r="H36" i="2"/>
  <c r="C30" i="5" s="1"/>
  <c r="B30" i="4"/>
  <c r="H32" i="2"/>
  <c r="C26" i="5" s="1"/>
  <c r="B26" i="4"/>
  <c r="H27" i="2"/>
  <c r="C21" i="5" s="1"/>
  <c r="B21" i="4"/>
  <c r="H65" i="2"/>
  <c r="C59" i="5" s="1"/>
  <c r="B59" i="4"/>
  <c r="H118" i="2"/>
  <c r="C112" i="5" s="1"/>
  <c r="B112" i="4"/>
  <c r="H61" i="2"/>
  <c r="C55" i="5" s="1"/>
  <c r="B55" i="4"/>
  <c r="H43" i="2"/>
  <c r="C37" i="5" s="1"/>
  <c r="B37" i="4"/>
  <c r="H87" i="2"/>
  <c r="C81" i="5" s="1"/>
  <c r="B81" i="4"/>
  <c r="H80" i="2"/>
  <c r="C74" i="5" s="1"/>
  <c r="B74" i="4"/>
  <c r="H190" i="2"/>
  <c r="C184" i="5" s="1"/>
  <c r="B184" i="4"/>
  <c r="H72" i="2"/>
  <c r="C66" i="5" s="1"/>
  <c r="B66" i="4"/>
  <c r="H155" i="2"/>
  <c r="C149" i="5" s="1"/>
  <c r="B149" i="4"/>
  <c r="H14" i="2"/>
  <c r="C8" i="5" s="1"/>
  <c r="B8" i="4"/>
  <c r="H52" i="2"/>
  <c r="C46" i="5" s="1"/>
  <c r="B46" i="4"/>
  <c r="H74" i="2"/>
  <c r="C68" i="5" s="1"/>
  <c r="B68" i="4"/>
  <c r="H47" i="2"/>
  <c r="C41" i="5" s="1"/>
  <c r="B41" i="4"/>
  <c r="H93" i="2"/>
  <c r="C87" i="5" s="1"/>
  <c r="B87" i="4"/>
  <c r="H70" i="2"/>
  <c r="C64" i="5" s="1"/>
  <c r="B64" i="4"/>
  <c r="H33" i="2"/>
  <c r="C27" i="5" s="1"/>
  <c r="B27" i="4"/>
  <c r="H89" i="2"/>
  <c r="C83" i="5" s="1"/>
  <c r="B83" i="4"/>
  <c r="H130" i="2"/>
  <c r="C124" i="5" s="1"/>
  <c r="B124" i="4"/>
  <c r="H162" i="2"/>
  <c r="C156" i="5" s="1"/>
  <c r="B156" i="4"/>
  <c r="H194" i="2"/>
  <c r="C188" i="5" s="1"/>
  <c r="B188" i="4"/>
  <c r="H66" i="2"/>
  <c r="C60" i="5" s="1"/>
  <c r="B60" i="4"/>
  <c r="H127" i="2"/>
  <c r="C121" i="5" s="1"/>
  <c r="B121" i="4"/>
  <c r="H159" i="2"/>
  <c r="C153" i="5" s="1"/>
  <c r="B153" i="4"/>
  <c r="H191" i="2"/>
  <c r="C185" i="5" s="1"/>
  <c r="B185" i="4"/>
  <c r="H19" i="2"/>
  <c r="C13" i="5" s="1"/>
  <c r="B13" i="4"/>
  <c r="H67" i="2"/>
  <c r="C61" i="5" s="1"/>
  <c r="B61" i="4"/>
  <c r="H48" i="2"/>
  <c r="C42" i="5" s="1"/>
  <c r="B42" i="4"/>
  <c r="H71" i="2"/>
  <c r="C65" i="5" s="1"/>
  <c r="B65" i="4"/>
  <c r="H185" i="2"/>
  <c r="C179" i="5" s="1"/>
  <c r="B179" i="4"/>
  <c r="H108" i="2"/>
  <c r="C102" i="5" s="1"/>
  <c r="B102" i="4"/>
  <c r="H176" i="2"/>
  <c r="C170" i="5" s="1"/>
  <c r="B170" i="4"/>
  <c r="H92" i="2"/>
  <c r="C86" i="5" s="1"/>
  <c r="B86" i="4"/>
  <c r="H157" i="2"/>
  <c r="C151" i="5" s="1"/>
  <c r="B151" i="4"/>
  <c r="H120" i="2"/>
  <c r="C114" i="5" s="1"/>
  <c r="B114" i="4"/>
  <c r="H73" i="2"/>
  <c r="C67" i="5" s="1"/>
  <c r="B67" i="4"/>
  <c r="H53" i="2"/>
  <c r="C47" i="5" s="1"/>
  <c r="B47" i="4"/>
  <c r="H150" i="2"/>
  <c r="C144" i="5" s="1"/>
  <c r="B144" i="4"/>
  <c r="H147" i="2"/>
  <c r="C141" i="5" s="1"/>
  <c r="B141" i="4"/>
  <c r="H100" i="2"/>
  <c r="C94" i="5" s="1"/>
  <c r="B94" i="4"/>
  <c r="H54" i="2"/>
  <c r="C48" i="5" s="1"/>
  <c r="B48" i="4"/>
  <c r="H50" i="2"/>
  <c r="C44" i="5" s="1"/>
  <c r="B44" i="4"/>
  <c r="H183" i="2"/>
  <c r="C177" i="5" s="1"/>
  <c r="B177" i="4"/>
  <c r="H169" i="2"/>
  <c r="C163" i="5" s="1"/>
  <c r="B163" i="4"/>
  <c r="H94" i="2"/>
  <c r="C88" i="5" s="1"/>
  <c r="B88" i="4"/>
  <c r="H198" i="2"/>
  <c r="C192" i="5" s="1"/>
  <c r="B192" i="4"/>
  <c r="H131" i="2"/>
  <c r="C125" i="5" s="1"/>
  <c r="B125" i="4"/>
  <c r="H195" i="2"/>
  <c r="C189" i="5" s="1"/>
  <c r="B189" i="4"/>
  <c r="H30" i="2"/>
  <c r="C24" i="5" s="1"/>
  <c r="B24" i="4"/>
  <c r="H123" i="2"/>
  <c r="C117" i="5" s="1"/>
  <c r="B117" i="4"/>
  <c r="H79" i="2"/>
  <c r="C73" i="5" s="1"/>
  <c r="B73" i="4"/>
  <c r="H16" i="2"/>
  <c r="C10" i="5" s="1"/>
  <c r="B10" i="4"/>
  <c r="H196" i="2"/>
  <c r="C190" i="5" s="1"/>
  <c r="B190" i="4"/>
  <c r="H181" i="2"/>
  <c r="C175" i="5" s="1"/>
  <c r="B175" i="4"/>
  <c r="H105" i="2"/>
  <c r="C99" i="5" s="1"/>
  <c r="B99" i="4"/>
  <c r="H189" i="2"/>
  <c r="C183" i="5" s="1"/>
  <c r="B183" i="4"/>
  <c r="H140" i="2"/>
  <c r="C134" i="5" s="1"/>
  <c r="B134" i="4"/>
  <c r="H85" i="2"/>
  <c r="C79" i="5" s="1"/>
  <c r="B79" i="4"/>
  <c r="H75" i="2"/>
  <c r="C69" i="5" s="1"/>
  <c r="B69" i="4"/>
  <c r="H182" i="2"/>
  <c r="C176" i="5" s="1"/>
  <c r="B176" i="4"/>
  <c r="H51" i="2"/>
  <c r="C45" i="5" s="1"/>
  <c r="B45" i="4"/>
  <c r="H125" i="2"/>
  <c r="C119" i="5" s="1"/>
  <c r="B119" i="4"/>
  <c r="H186" i="2"/>
  <c r="C180" i="5" s="1"/>
  <c r="B180" i="4"/>
  <c r="H62" i="2"/>
  <c r="C56" i="5" s="1"/>
  <c r="B56" i="4"/>
  <c r="H160" i="2"/>
  <c r="C154" i="5" s="1"/>
  <c r="B154" i="4"/>
  <c r="H44" i="2"/>
  <c r="C38" i="5" s="1"/>
  <c r="B38" i="4"/>
  <c r="H163" i="2"/>
  <c r="C157" i="5" s="1"/>
  <c r="B157" i="4"/>
  <c r="H77" i="2"/>
  <c r="C71" i="5" s="1"/>
  <c r="B71" i="4"/>
  <c r="H68" i="2"/>
  <c r="C62" i="5" s="1"/>
  <c r="B62" i="4"/>
  <c r="H102" i="2"/>
  <c r="C96" i="5" s="1"/>
  <c r="B96" i="4"/>
  <c r="H129" i="2"/>
  <c r="C123" i="5" s="1"/>
  <c r="B123" i="4"/>
  <c r="H98" i="2"/>
  <c r="C92" i="5" s="1"/>
  <c r="B92" i="4"/>
  <c r="H138" i="2"/>
  <c r="C132" i="5" s="1"/>
  <c r="B132" i="4"/>
  <c r="H170" i="2"/>
  <c r="C164" i="5" s="1"/>
  <c r="B164" i="4"/>
  <c r="H202" i="2"/>
  <c r="C196" i="5" s="1"/>
  <c r="B196" i="4"/>
  <c r="H90" i="2"/>
  <c r="C84" i="5" s="1"/>
  <c r="B84" i="4"/>
  <c r="H40" i="2"/>
  <c r="C34" i="5" s="1"/>
  <c r="B34" i="4"/>
  <c r="H135" i="2"/>
  <c r="C129" i="5" s="1"/>
  <c r="B129" i="4"/>
  <c r="H167" i="2"/>
  <c r="C161" i="5" s="1"/>
  <c r="B161" i="4"/>
  <c r="H199" i="2"/>
  <c r="C193" i="5" s="1"/>
  <c r="B193" i="4"/>
  <c r="H35" i="2"/>
  <c r="C29" i="5" s="1"/>
  <c r="B29" i="4"/>
  <c r="H82" i="2"/>
  <c r="C76" i="5" s="1"/>
  <c r="B76" i="4"/>
  <c r="H84" i="2"/>
  <c r="C78" i="5" s="1"/>
  <c r="B78" i="4"/>
  <c r="H107" i="2"/>
  <c r="C101" i="5" s="1"/>
  <c r="B101" i="4"/>
  <c r="H41" i="2"/>
  <c r="C35" i="5" s="1"/>
  <c r="B35" i="4"/>
  <c r="H137" i="2"/>
  <c r="C131" i="5" s="1"/>
  <c r="B131" i="4"/>
  <c r="H201" i="2"/>
  <c r="C195" i="5" s="1"/>
  <c r="B195" i="4"/>
  <c r="H37" i="2"/>
  <c r="C31" i="5" s="1"/>
  <c r="B31" i="4"/>
  <c r="H133" i="2"/>
  <c r="C127" i="5" s="1"/>
  <c r="B127" i="4"/>
  <c r="H192" i="2"/>
  <c r="C186" i="5" s="1"/>
  <c r="B186" i="4"/>
  <c r="H156" i="2"/>
  <c r="C150" i="5" s="1"/>
  <c r="B150" i="4"/>
  <c r="H172" i="2"/>
  <c r="C166" i="5" s="1"/>
  <c r="B166" i="4"/>
  <c r="H97" i="2"/>
  <c r="C91" i="5" s="1"/>
  <c r="B91" i="4"/>
  <c r="H88" i="2"/>
  <c r="C82" i="5" s="1"/>
  <c r="B82" i="4"/>
  <c r="H11" i="2"/>
  <c r="C5" i="5" s="1"/>
  <c r="B5" i="4"/>
  <c r="H56" i="2"/>
  <c r="C50" i="5" s="1"/>
  <c r="B50" i="4"/>
  <c r="H15" i="2"/>
  <c r="C9" i="5" s="1"/>
  <c r="B9" i="4"/>
  <c r="H28" i="2"/>
  <c r="C22" i="5" s="1"/>
  <c r="B22" i="4"/>
  <c r="H13" i="2"/>
  <c r="C7" i="5" s="1"/>
  <c r="B7" i="4"/>
  <c r="H96" i="2"/>
  <c r="C90" i="5" s="1"/>
  <c r="B90" i="4"/>
  <c r="H166" i="2"/>
  <c r="C160" i="5" s="1"/>
  <c r="B160" i="4"/>
  <c r="H86" i="2"/>
  <c r="C80" i="5" s="1"/>
  <c r="B80" i="4"/>
  <c r="H49" i="2"/>
  <c r="C43" i="5" s="1"/>
  <c r="B43" i="4"/>
  <c r="H142" i="2"/>
  <c r="C136" i="5" s="1"/>
  <c r="B136" i="4"/>
  <c r="H95" i="2"/>
  <c r="C89" i="5" s="1"/>
  <c r="B89" i="4"/>
  <c r="H171" i="2"/>
  <c r="C165" i="5" s="1"/>
  <c r="B165" i="4"/>
  <c r="H46" i="2"/>
  <c r="C40" i="5" s="1"/>
  <c r="B40" i="4"/>
  <c r="H20" i="2"/>
  <c r="C14" i="5" s="1"/>
  <c r="B14" i="4"/>
  <c r="H78" i="2"/>
  <c r="C72" i="5" s="1"/>
  <c r="B72" i="4"/>
  <c r="H64" i="2"/>
  <c r="C58" i="5" s="1"/>
  <c r="B58" i="4"/>
  <c r="H148" i="2"/>
  <c r="C142" i="5" s="1"/>
  <c r="B142" i="4"/>
  <c r="H197" i="2"/>
  <c r="C191" i="5" s="1"/>
  <c r="B191" i="4"/>
  <c r="H128" i="2"/>
  <c r="C122" i="5" s="1"/>
  <c r="B122" i="4"/>
  <c r="H188" i="2"/>
  <c r="C182" i="5" s="1"/>
  <c r="B182" i="4"/>
  <c r="H204" i="2"/>
  <c r="C198" i="5" s="1"/>
  <c r="B198" i="4"/>
  <c r="H141" i="2"/>
  <c r="C135" i="5" s="1"/>
  <c r="B135" i="4"/>
  <c r="H117" i="2"/>
  <c r="C111" i="5" s="1"/>
  <c r="B111" i="4"/>
  <c r="H25" i="2"/>
  <c r="C19" i="5" s="1"/>
  <c r="B19" i="4"/>
  <c r="H99" i="2"/>
  <c r="C93" i="5" s="1"/>
  <c r="B93" i="4"/>
  <c r="H121" i="2"/>
  <c r="C115" i="5" s="1"/>
  <c r="B115" i="4"/>
  <c r="H179" i="2"/>
  <c r="C173" i="5" s="1"/>
  <c r="B173" i="4"/>
  <c r="H76" i="2"/>
  <c r="C70" i="5" s="1"/>
  <c r="B70" i="4"/>
  <c r="H164" i="2"/>
  <c r="C158" i="5" s="1"/>
  <c r="B158" i="4"/>
  <c r="H149" i="2"/>
  <c r="C143" i="5" s="1"/>
  <c r="B143" i="4"/>
  <c r="H39" i="2"/>
  <c r="C33" i="5" s="1"/>
  <c r="B33" i="4"/>
  <c r="H17" i="2"/>
  <c r="C11" i="5" s="1"/>
  <c r="B11" i="4"/>
  <c r="H154" i="2"/>
  <c r="C148" i="5" s="1"/>
  <c r="B148" i="4"/>
  <c r="H109" i="2"/>
  <c r="C103" i="5" s="1"/>
  <c r="B103" i="4"/>
  <c r="H134" i="2"/>
  <c r="C128" i="5" s="1"/>
  <c r="B128" i="4"/>
  <c r="H29" i="2"/>
  <c r="C23" i="5" s="1"/>
  <c r="B23" i="4"/>
  <c r="H22" i="2"/>
  <c r="C16" i="5" s="1"/>
  <c r="B16" i="4"/>
  <c r="H103" i="2"/>
  <c r="C97" i="5" s="1"/>
  <c r="B97" i="4"/>
  <c r="H174" i="2"/>
  <c r="C168" i="5" s="1"/>
  <c r="B168" i="4"/>
  <c r="H206" i="2"/>
  <c r="C200" i="5" s="1"/>
  <c r="B200" i="4"/>
  <c r="H139" i="2"/>
  <c r="C133" i="5" s="1"/>
  <c r="B133" i="4"/>
  <c r="H203" i="2"/>
  <c r="C197" i="5" s="1"/>
  <c r="B197" i="4"/>
  <c r="H38" i="2"/>
  <c r="C32" i="5" s="1"/>
  <c r="B32" i="4"/>
  <c r="H12" i="2"/>
  <c r="C6" i="5" s="1"/>
  <c r="B6" i="4"/>
  <c r="H60" i="2"/>
  <c r="C54" i="5" s="1"/>
  <c r="B54" i="4"/>
  <c r="H112" i="2"/>
  <c r="C106" i="5" s="1"/>
  <c r="B106" i="4"/>
  <c r="H146" i="2"/>
  <c r="C140" i="5" s="1"/>
  <c r="B140" i="4"/>
  <c r="H178" i="2"/>
  <c r="C172" i="5" s="1"/>
  <c r="B172" i="4"/>
  <c r="H34" i="2"/>
  <c r="C28" i="5" s="1"/>
  <c r="B28" i="4"/>
  <c r="H122" i="2"/>
  <c r="C116" i="5" s="1"/>
  <c r="B116" i="4"/>
  <c r="H45" i="2"/>
  <c r="C39" i="5" s="1"/>
  <c r="B39" i="4"/>
  <c r="H104" i="2"/>
  <c r="C98" i="5" s="1"/>
  <c r="B98" i="4"/>
  <c r="H143" i="2"/>
  <c r="C137" i="5" s="1"/>
  <c r="B137" i="4"/>
  <c r="H175" i="2"/>
  <c r="C169" i="5" s="1"/>
  <c r="B169" i="4"/>
  <c r="H207" i="2"/>
  <c r="C201" i="5" s="1"/>
  <c r="B201" i="4"/>
  <c r="H91" i="2"/>
  <c r="C85" i="5" s="1"/>
  <c r="B85" i="4"/>
  <c r="H116" i="2"/>
  <c r="C110" i="5" s="1"/>
  <c r="B110" i="4"/>
  <c r="H106" i="2"/>
  <c r="C100" i="5" s="1"/>
  <c r="B100" i="4"/>
  <c r="H26" i="2"/>
  <c r="C20" i="5" s="1"/>
  <c r="B20" i="4"/>
  <c r="H55" i="2"/>
  <c r="C49" i="5" s="1"/>
  <c r="B49" i="4"/>
  <c r="H153" i="2"/>
  <c r="C147" i="5" s="1"/>
  <c r="B147" i="4"/>
  <c r="H59" i="2"/>
  <c r="C53" i="5" s="1"/>
  <c r="B53" i="4"/>
  <c r="H144" i="2"/>
  <c r="C138" i="5" s="1"/>
  <c r="B138" i="4"/>
  <c r="H208" i="2"/>
  <c r="C202" i="5" s="1"/>
  <c r="B202" i="4"/>
  <c r="H18" i="2"/>
  <c r="C12" i="5" s="1"/>
  <c r="B12" i="4"/>
  <c r="H9" i="2"/>
  <c r="C3" i="5" s="1"/>
  <c r="B3" i="4"/>
  <c r="H173" i="2"/>
  <c r="C167" i="5" s="1"/>
  <c r="B167" i="4"/>
  <c r="H124" i="2"/>
  <c r="C118" i="5" s="1"/>
  <c r="B118" i="4"/>
  <c r="H10" i="2"/>
  <c r="C4" i="5" s="1"/>
  <c r="X12" i="2"/>
  <c r="V176" i="9" l="1"/>
  <c r="V95" i="9"/>
  <c r="V31" i="9"/>
  <c r="V143" i="9"/>
  <c r="V188" i="9"/>
  <c r="V155" i="9"/>
  <c r="V193" i="9"/>
  <c r="V129" i="9"/>
  <c r="V65" i="9"/>
  <c r="V191" i="9"/>
  <c r="V87" i="9"/>
  <c r="V23" i="9"/>
  <c r="V197" i="9"/>
  <c r="V180" i="9"/>
  <c r="V147" i="9"/>
  <c r="V185" i="9"/>
  <c r="V121" i="9"/>
  <c r="V57" i="9"/>
  <c r="V175" i="9"/>
  <c r="V79" i="9"/>
  <c r="V15" i="9"/>
  <c r="V189" i="9"/>
  <c r="V172" i="9"/>
  <c r="V139" i="9"/>
  <c r="V177" i="9"/>
  <c r="V113" i="9"/>
  <c r="V49" i="9"/>
  <c r="V159" i="9"/>
  <c r="V71" i="9"/>
  <c r="V192" i="9"/>
  <c r="V181" i="9"/>
  <c r="V195" i="9"/>
  <c r="V131" i="9"/>
  <c r="V169" i="9"/>
  <c r="V105" i="9"/>
  <c r="V41" i="9"/>
  <c r="V135" i="9"/>
  <c r="V63" i="9"/>
  <c r="V183" i="9"/>
  <c r="V173" i="9"/>
  <c r="V187" i="9"/>
  <c r="V123" i="9"/>
  <c r="V161" i="9"/>
  <c r="V97" i="9"/>
  <c r="V33" i="9"/>
  <c r="V127" i="9"/>
  <c r="V55" i="9"/>
  <c r="V151" i="9"/>
  <c r="V184" i="9"/>
  <c r="V179" i="9"/>
  <c r="V115" i="9"/>
  <c r="V153" i="9"/>
  <c r="V89" i="9"/>
  <c r="V25" i="9"/>
  <c r="V119" i="9"/>
  <c r="V47" i="9"/>
  <c r="V111" i="9"/>
  <c r="V199" i="9"/>
  <c r="V171" i="9"/>
  <c r="V167" i="9"/>
  <c r="V145" i="9"/>
  <c r="V81" i="9"/>
  <c r="V17" i="9"/>
  <c r="V103" i="9"/>
  <c r="V39" i="9"/>
  <c r="V200" i="9"/>
  <c r="V196" i="9"/>
  <c r="V163" i="9"/>
  <c r="V201" i="9"/>
  <c r="V137" i="9"/>
  <c r="V73" i="9"/>
  <c r="V9" i="9"/>
  <c r="V36" i="9"/>
  <c r="V77" i="9"/>
  <c r="V152" i="9"/>
  <c r="V54" i="9"/>
  <c r="V144" i="9"/>
  <c r="V60" i="9"/>
  <c r="V157" i="9"/>
  <c r="V42" i="9"/>
  <c r="V202" i="9"/>
  <c r="V12" i="9"/>
  <c r="V109" i="9"/>
  <c r="V22" i="9"/>
  <c r="V8" i="9"/>
  <c r="V16" i="9"/>
  <c r="V136" i="9"/>
  <c r="V164" i="9"/>
  <c r="V38" i="9"/>
  <c r="V43" i="9"/>
  <c r="V122" i="9"/>
  <c r="V99" i="9"/>
  <c r="V158" i="9"/>
  <c r="V26" i="9"/>
  <c r="V106" i="9"/>
  <c r="V76" i="9"/>
  <c r="V110" i="9"/>
  <c r="V128" i="9"/>
  <c r="V80" i="9"/>
  <c r="V162" i="9"/>
  <c r="V7" i="9"/>
  <c r="V108" i="9"/>
  <c r="V46" i="9"/>
  <c r="V29" i="9"/>
  <c r="V101" i="9"/>
  <c r="V58" i="9"/>
  <c r="V91" i="9"/>
  <c r="V134" i="9"/>
  <c r="V88" i="9"/>
  <c r="V107" i="9"/>
  <c r="V148" i="9"/>
  <c r="V90" i="9"/>
  <c r="V93" i="9"/>
  <c r="V168" i="9"/>
  <c r="V52" i="9"/>
  <c r="V68" i="9"/>
  <c r="V165" i="9"/>
  <c r="V45" i="9"/>
  <c r="V174" i="9"/>
  <c r="V116" i="9"/>
  <c r="V20" i="9"/>
  <c r="V66" i="9"/>
  <c r="V124" i="9"/>
  <c r="V94" i="9"/>
  <c r="V32" i="9"/>
  <c r="V114" i="9"/>
  <c r="V69" i="9"/>
  <c r="V150" i="9"/>
  <c r="V85" i="9"/>
  <c r="V62" i="9"/>
  <c r="V59" i="9"/>
  <c r="V96" i="9"/>
  <c r="V37" i="9"/>
  <c r="V166" i="9"/>
  <c r="V14" i="9"/>
  <c r="V75" i="9"/>
  <c r="V118" i="9"/>
  <c r="V53" i="9"/>
  <c r="V28" i="9"/>
  <c r="V125" i="9"/>
  <c r="V133" i="9"/>
  <c r="V18" i="9"/>
  <c r="V178" i="9"/>
  <c r="V170" i="9"/>
  <c r="V160" i="9"/>
  <c r="V186" i="9"/>
  <c r="V104" i="9"/>
  <c r="V74" i="9"/>
  <c r="V149" i="9"/>
  <c r="V6" i="9"/>
  <c r="V67" i="9"/>
  <c r="V78" i="9"/>
  <c r="V100" i="9"/>
  <c r="V182" i="9"/>
  <c r="V86" i="9"/>
  <c r="V92" i="9"/>
  <c r="V126" i="9"/>
  <c r="V82" i="9"/>
  <c r="V140" i="9"/>
  <c r="V35" i="9"/>
  <c r="V51" i="9"/>
  <c r="V48" i="9"/>
  <c r="V130" i="9"/>
  <c r="V102" i="9"/>
  <c r="V4" i="9"/>
  <c r="V70" i="9"/>
  <c r="V5" i="9"/>
  <c r="V120" i="9"/>
  <c r="V132" i="9"/>
  <c r="V83" i="9"/>
  <c r="V154" i="9"/>
  <c r="V61" i="9"/>
  <c r="V190" i="9"/>
  <c r="V19" i="9"/>
  <c r="V44" i="9"/>
  <c r="V141" i="9"/>
  <c r="V40" i="9"/>
  <c r="V34" i="9"/>
  <c r="V194" i="9"/>
  <c r="V198" i="9"/>
  <c r="V11" i="9"/>
  <c r="V112" i="9"/>
  <c r="V64" i="9"/>
  <c r="V146" i="9"/>
  <c r="V72" i="9"/>
  <c r="V24" i="9"/>
  <c r="V117" i="9"/>
  <c r="V30" i="9"/>
  <c r="V27" i="9"/>
  <c r="V13" i="9"/>
  <c r="V142" i="9"/>
  <c r="V21" i="9"/>
  <c r="V10" i="9"/>
  <c r="V98" i="9"/>
  <c r="V156" i="9"/>
  <c r="V56" i="9"/>
  <c r="V138" i="9"/>
  <c r="V50" i="9"/>
  <c r="V84" i="9"/>
  <c r="C204" i="5"/>
  <c r="C205" i="5" s="1"/>
  <c r="E11" i="1"/>
  <c r="C199" i="4"/>
  <c r="F199" i="4" s="1"/>
  <c r="C191" i="4"/>
  <c r="F191" i="4" s="1"/>
  <c r="C183" i="4"/>
  <c r="F183" i="4" s="1"/>
  <c r="C175" i="4"/>
  <c r="F175" i="4" s="1"/>
  <c r="C167" i="4"/>
  <c r="F167" i="4" s="1"/>
  <c r="C159" i="4"/>
  <c r="F159" i="4" s="1"/>
  <c r="C151" i="4"/>
  <c r="F151" i="4" s="1"/>
  <c r="C143" i="4"/>
  <c r="F143" i="4" s="1"/>
  <c r="C135" i="4"/>
  <c r="F135" i="4" s="1"/>
  <c r="C127" i="4"/>
  <c r="F127" i="4" s="1"/>
  <c r="C119" i="4"/>
  <c r="F119" i="4" s="1"/>
  <c r="C111" i="4"/>
  <c r="F111" i="4" s="1"/>
  <c r="C103" i="4"/>
  <c r="F103" i="4" s="1"/>
  <c r="C95" i="4"/>
  <c r="F95" i="4" s="1"/>
  <c r="C87" i="4"/>
  <c r="F87" i="4" s="1"/>
  <c r="C79" i="4"/>
  <c r="F79" i="4" s="1"/>
  <c r="C71" i="4"/>
  <c r="F71" i="4" s="1"/>
  <c r="C63" i="4"/>
  <c r="F63" i="4" s="1"/>
  <c r="C55" i="4"/>
  <c r="F55" i="4" s="1"/>
  <c r="C47" i="4"/>
  <c r="F47" i="4" s="1"/>
  <c r="C39" i="4"/>
  <c r="F39" i="4" s="1"/>
  <c r="C37" i="4"/>
  <c r="F37" i="4" s="1"/>
  <c r="C196" i="4"/>
  <c r="F196" i="4" s="1"/>
  <c r="C188" i="4"/>
  <c r="F188" i="4" s="1"/>
  <c r="C180" i="4"/>
  <c r="F180" i="4" s="1"/>
  <c r="C172" i="4"/>
  <c r="F172" i="4" s="1"/>
  <c r="C164" i="4"/>
  <c r="F164" i="4" s="1"/>
  <c r="C156" i="4"/>
  <c r="F156" i="4" s="1"/>
  <c r="C148" i="4"/>
  <c r="F148" i="4" s="1"/>
  <c r="C140" i="4"/>
  <c r="F140" i="4" s="1"/>
  <c r="C132" i="4"/>
  <c r="F132" i="4" s="1"/>
  <c r="C124" i="4"/>
  <c r="F124" i="4" s="1"/>
  <c r="C116" i="4"/>
  <c r="F116" i="4" s="1"/>
  <c r="C108" i="4"/>
  <c r="F108" i="4" s="1"/>
  <c r="C100" i="4"/>
  <c r="F100" i="4" s="1"/>
  <c r="C92" i="4"/>
  <c r="F92" i="4" s="1"/>
  <c r="C84" i="4"/>
  <c r="F84" i="4" s="1"/>
  <c r="C76" i="4"/>
  <c r="F76" i="4" s="1"/>
  <c r="C68" i="4"/>
  <c r="F68" i="4" s="1"/>
  <c r="C60" i="4"/>
  <c r="F60" i="4" s="1"/>
  <c r="C52" i="4"/>
  <c r="F52" i="4" s="1"/>
  <c r="C44" i="4"/>
  <c r="F44" i="4" s="1"/>
  <c r="C201" i="4"/>
  <c r="F201" i="4" s="1"/>
  <c r="C193" i="4"/>
  <c r="F193" i="4" s="1"/>
  <c r="C185" i="4"/>
  <c r="F185" i="4" s="1"/>
  <c r="C177" i="4"/>
  <c r="F177" i="4" s="1"/>
  <c r="C169" i="4"/>
  <c r="F169" i="4" s="1"/>
  <c r="C161" i="4"/>
  <c r="F161" i="4" s="1"/>
  <c r="C153" i="4"/>
  <c r="F153" i="4" s="1"/>
  <c r="C145" i="4"/>
  <c r="F145" i="4" s="1"/>
  <c r="C137" i="4"/>
  <c r="F137" i="4" s="1"/>
  <c r="C129" i="4"/>
  <c r="F129" i="4" s="1"/>
  <c r="C121" i="4"/>
  <c r="F121" i="4" s="1"/>
  <c r="C113" i="4"/>
  <c r="F113" i="4" s="1"/>
  <c r="C105" i="4"/>
  <c r="F105" i="4" s="1"/>
  <c r="C97" i="4"/>
  <c r="F97" i="4" s="1"/>
  <c r="C89" i="4"/>
  <c r="F89" i="4" s="1"/>
  <c r="C81" i="4"/>
  <c r="F81" i="4" s="1"/>
  <c r="C73" i="4"/>
  <c r="F73" i="4" s="1"/>
  <c r="C65" i="4"/>
  <c r="F65" i="4" s="1"/>
  <c r="C57" i="4"/>
  <c r="F57" i="4" s="1"/>
  <c r="C49" i="4"/>
  <c r="F49" i="4" s="1"/>
  <c r="C41" i="4"/>
  <c r="F41" i="4" s="1"/>
  <c r="C198" i="4"/>
  <c r="F198" i="4" s="1"/>
  <c r="C190" i="4"/>
  <c r="F190" i="4" s="1"/>
  <c r="C182" i="4"/>
  <c r="F182" i="4" s="1"/>
  <c r="C174" i="4"/>
  <c r="F174" i="4" s="1"/>
  <c r="C166" i="4"/>
  <c r="F166" i="4" s="1"/>
  <c r="C158" i="4"/>
  <c r="F158" i="4" s="1"/>
  <c r="C150" i="4"/>
  <c r="F150" i="4" s="1"/>
  <c r="C142" i="4"/>
  <c r="F142" i="4" s="1"/>
  <c r="C134" i="4"/>
  <c r="F134" i="4" s="1"/>
  <c r="C126" i="4"/>
  <c r="F126" i="4" s="1"/>
  <c r="C118" i="4"/>
  <c r="F118" i="4" s="1"/>
  <c r="C110" i="4"/>
  <c r="F110" i="4" s="1"/>
  <c r="C102" i="4"/>
  <c r="F102" i="4" s="1"/>
  <c r="C94" i="4"/>
  <c r="F94" i="4" s="1"/>
  <c r="C86" i="4"/>
  <c r="F86" i="4" s="1"/>
  <c r="C78" i="4"/>
  <c r="F78" i="4" s="1"/>
  <c r="C70" i="4"/>
  <c r="F70" i="4" s="1"/>
  <c r="C62" i="4"/>
  <c r="F62" i="4" s="1"/>
  <c r="C54" i="4"/>
  <c r="F54" i="4" s="1"/>
  <c r="C46" i="4"/>
  <c r="F46" i="4" s="1"/>
  <c r="C195" i="4"/>
  <c r="F195" i="4" s="1"/>
  <c r="C187" i="4"/>
  <c r="F187" i="4" s="1"/>
  <c r="C179" i="4"/>
  <c r="F179" i="4" s="1"/>
  <c r="C171" i="4"/>
  <c r="F171" i="4" s="1"/>
  <c r="C163" i="4"/>
  <c r="F163" i="4" s="1"/>
  <c r="C155" i="4"/>
  <c r="F155" i="4" s="1"/>
  <c r="C147" i="4"/>
  <c r="F147" i="4" s="1"/>
  <c r="C139" i="4"/>
  <c r="F139" i="4" s="1"/>
  <c r="C131" i="4"/>
  <c r="F131" i="4" s="1"/>
  <c r="C123" i="4"/>
  <c r="F123" i="4" s="1"/>
  <c r="C115" i="4"/>
  <c r="F115" i="4" s="1"/>
  <c r="C107" i="4"/>
  <c r="F107" i="4" s="1"/>
  <c r="C99" i="4"/>
  <c r="F99" i="4" s="1"/>
  <c r="C91" i="4"/>
  <c r="F91" i="4" s="1"/>
  <c r="C83" i="4"/>
  <c r="F83" i="4" s="1"/>
  <c r="C75" i="4"/>
  <c r="F75" i="4" s="1"/>
  <c r="C67" i="4"/>
  <c r="F67" i="4" s="1"/>
  <c r="C59" i="4"/>
  <c r="F59" i="4" s="1"/>
  <c r="C51" i="4"/>
  <c r="F51" i="4" s="1"/>
  <c r="C43" i="4"/>
  <c r="F43" i="4" s="1"/>
  <c r="C200" i="4"/>
  <c r="F200" i="4" s="1"/>
  <c r="C192" i="4"/>
  <c r="F192" i="4" s="1"/>
  <c r="C184" i="4"/>
  <c r="F184" i="4" s="1"/>
  <c r="C176" i="4"/>
  <c r="F176" i="4" s="1"/>
  <c r="C168" i="4"/>
  <c r="F168" i="4" s="1"/>
  <c r="C160" i="4"/>
  <c r="F160" i="4" s="1"/>
  <c r="C152" i="4"/>
  <c r="F152" i="4" s="1"/>
  <c r="C144" i="4"/>
  <c r="F144" i="4" s="1"/>
  <c r="C136" i="4"/>
  <c r="F136" i="4" s="1"/>
  <c r="C128" i="4"/>
  <c r="F128" i="4" s="1"/>
  <c r="C120" i="4"/>
  <c r="F120" i="4" s="1"/>
  <c r="C112" i="4"/>
  <c r="F112" i="4" s="1"/>
  <c r="C104" i="4"/>
  <c r="F104" i="4" s="1"/>
  <c r="C96" i="4"/>
  <c r="F96" i="4" s="1"/>
  <c r="C88" i="4"/>
  <c r="F88" i="4" s="1"/>
  <c r="C80" i="4"/>
  <c r="F80" i="4" s="1"/>
  <c r="C72" i="4"/>
  <c r="F72" i="4" s="1"/>
  <c r="C64" i="4"/>
  <c r="F64" i="4" s="1"/>
  <c r="C56" i="4"/>
  <c r="F56" i="4" s="1"/>
  <c r="C48" i="4"/>
  <c r="F48" i="4" s="1"/>
  <c r="C40" i="4"/>
  <c r="F40" i="4" s="1"/>
  <c r="C38" i="4"/>
  <c r="F38" i="4" s="1"/>
  <c r="C197" i="4"/>
  <c r="F197" i="4" s="1"/>
  <c r="C189" i="4"/>
  <c r="F189" i="4" s="1"/>
  <c r="C181" i="4"/>
  <c r="F181" i="4" s="1"/>
  <c r="C173" i="4"/>
  <c r="F173" i="4" s="1"/>
  <c r="C165" i="4"/>
  <c r="F165" i="4" s="1"/>
  <c r="C157" i="4"/>
  <c r="F157" i="4" s="1"/>
  <c r="C149" i="4"/>
  <c r="F149" i="4" s="1"/>
  <c r="C141" i="4"/>
  <c r="F141" i="4" s="1"/>
  <c r="C133" i="4"/>
  <c r="F133" i="4" s="1"/>
  <c r="C125" i="4"/>
  <c r="F125" i="4" s="1"/>
  <c r="C117" i="4"/>
  <c r="F117" i="4" s="1"/>
  <c r="C109" i="4"/>
  <c r="F109" i="4" s="1"/>
  <c r="C101" i="4"/>
  <c r="F101" i="4" s="1"/>
  <c r="C93" i="4"/>
  <c r="F93" i="4" s="1"/>
  <c r="C85" i="4"/>
  <c r="F85" i="4" s="1"/>
  <c r="C77" i="4"/>
  <c r="F77" i="4" s="1"/>
  <c r="C69" i="4"/>
  <c r="F69" i="4" s="1"/>
  <c r="C61" i="4"/>
  <c r="F61" i="4" s="1"/>
  <c r="C53" i="4"/>
  <c r="F53" i="4" s="1"/>
  <c r="C45" i="4"/>
  <c r="F45" i="4" s="1"/>
  <c r="C194" i="4"/>
  <c r="F194" i="4" s="1"/>
  <c r="C130" i="4"/>
  <c r="F130" i="4" s="1"/>
  <c r="C66" i="4"/>
  <c r="F66" i="4" s="1"/>
  <c r="C33" i="4"/>
  <c r="F33" i="4" s="1"/>
  <c r="C26" i="4"/>
  <c r="F26" i="4" s="1"/>
  <c r="C170" i="4"/>
  <c r="F170" i="4" s="1"/>
  <c r="C106" i="4"/>
  <c r="F106" i="4" s="1"/>
  <c r="C30" i="4"/>
  <c r="F30" i="4" s="1"/>
  <c r="C16" i="4"/>
  <c r="F16" i="4" s="1"/>
  <c r="C8" i="4"/>
  <c r="F8" i="4" s="1"/>
  <c r="C3" i="4"/>
  <c r="F3" i="4" s="1"/>
  <c r="C14" i="4"/>
  <c r="F14" i="4" s="1"/>
  <c r="C146" i="4"/>
  <c r="F146" i="4" s="1"/>
  <c r="C82" i="4"/>
  <c r="F82" i="4" s="1"/>
  <c r="C42" i="4"/>
  <c r="F42" i="4" s="1"/>
  <c r="C36" i="4"/>
  <c r="F36" i="4" s="1"/>
  <c r="C23" i="4"/>
  <c r="F23" i="4" s="1"/>
  <c r="C13" i="4"/>
  <c r="F13" i="4" s="1"/>
  <c r="C5" i="4"/>
  <c r="F5" i="4" s="1"/>
  <c r="C10" i="4"/>
  <c r="F10" i="4" s="1"/>
  <c r="C4" i="4"/>
  <c r="F4" i="4" s="1"/>
  <c r="C186" i="4"/>
  <c r="F186" i="4" s="1"/>
  <c r="C122" i="4"/>
  <c r="F122" i="4" s="1"/>
  <c r="C58" i="4"/>
  <c r="F58" i="4" s="1"/>
  <c r="C34" i="4"/>
  <c r="F34" i="4" s="1"/>
  <c r="C32" i="4"/>
  <c r="F32" i="4" s="1"/>
  <c r="C25" i="4"/>
  <c r="F25" i="4" s="1"/>
  <c r="C18" i="4"/>
  <c r="F18" i="4" s="1"/>
  <c r="C7" i="4"/>
  <c r="F7" i="4" s="1"/>
  <c r="C21" i="4"/>
  <c r="F21" i="4" s="1"/>
  <c r="C162" i="4"/>
  <c r="F162" i="4" s="1"/>
  <c r="C98" i="4"/>
  <c r="F98" i="4" s="1"/>
  <c r="C29" i="4"/>
  <c r="F29" i="4" s="1"/>
  <c r="C27" i="4"/>
  <c r="F27" i="4" s="1"/>
  <c r="C20" i="4"/>
  <c r="F20" i="4" s="1"/>
  <c r="C15" i="4"/>
  <c r="F15" i="4" s="1"/>
  <c r="C28" i="4"/>
  <c r="F28" i="4" s="1"/>
  <c r="C202" i="4"/>
  <c r="F202" i="4" s="1"/>
  <c r="C138" i="4"/>
  <c r="F138" i="4" s="1"/>
  <c r="C74" i="4"/>
  <c r="F74" i="4" s="1"/>
  <c r="C35" i="4"/>
  <c r="F35" i="4" s="1"/>
  <c r="C22" i="4"/>
  <c r="F22" i="4" s="1"/>
  <c r="C12" i="4"/>
  <c r="F12" i="4" s="1"/>
  <c r="C9" i="4"/>
  <c r="F9" i="4" s="1"/>
  <c r="C154" i="4"/>
  <c r="F154" i="4" s="1"/>
  <c r="C6" i="4"/>
  <c r="F6" i="4" s="1"/>
  <c r="C11" i="4"/>
  <c r="F11" i="4" s="1"/>
  <c r="C178" i="4"/>
  <c r="F178" i="4" s="1"/>
  <c r="C114" i="4"/>
  <c r="F114" i="4" s="1"/>
  <c r="C50" i="4"/>
  <c r="F50" i="4" s="1"/>
  <c r="C31" i="4"/>
  <c r="F31" i="4" s="1"/>
  <c r="C24" i="4"/>
  <c r="F24" i="4" s="1"/>
  <c r="C17" i="4"/>
  <c r="F17" i="4" s="1"/>
  <c r="C90" i="4"/>
  <c r="F90" i="4" s="1"/>
  <c r="C19" i="4"/>
  <c r="F19" i="4" s="1"/>
  <c r="E3" i="4"/>
  <c r="V176" i="4" s="1"/>
  <c r="I3" i="2"/>
  <c r="X13" i="2"/>
  <c r="V204" i="9" l="1"/>
  <c r="K24" i="9" s="1"/>
  <c r="K25" i="9" s="1"/>
  <c r="E12" i="1"/>
  <c r="V136" i="4"/>
  <c r="V122" i="4"/>
  <c r="V110" i="4"/>
  <c r="V145" i="4"/>
  <c r="V20" i="4"/>
  <c r="V87" i="4"/>
  <c r="V10" i="4"/>
  <c r="V40" i="4"/>
  <c r="V196" i="4"/>
  <c r="V83" i="4"/>
  <c r="V116" i="4"/>
  <c r="V148" i="4"/>
  <c r="V17" i="4"/>
  <c r="V16" i="4"/>
  <c r="V84" i="4"/>
  <c r="V140" i="4"/>
  <c r="V46" i="4"/>
  <c r="V79" i="4"/>
  <c r="V21" i="4"/>
  <c r="V39" i="4"/>
  <c r="V95" i="4"/>
  <c r="V54" i="4"/>
  <c r="V55" i="4"/>
  <c r="V96" i="4"/>
  <c r="V202" i="4"/>
  <c r="V104" i="4"/>
  <c r="V60" i="4"/>
  <c r="V193" i="4"/>
  <c r="V173" i="4"/>
  <c r="V36" i="4"/>
  <c r="V163" i="4"/>
  <c r="V50" i="4"/>
  <c r="V115" i="4"/>
  <c r="V107" i="4"/>
  <c r="V48" i="4"/>
  <c r="V195" i="4"/>
  <c r="V11" i="4"/>
  <c r="V94" i="4"/>
  <c r="V101" i="4"/>
  <c r="V52" i="4"/>
  <c r="V189" i="4"/>
  <c r="V90" i="4"/>
  <c r="V12" i="4"/>
  <c r="V67" i="4"/>
  <c r="V128" i="4"/>
  <c r="V200" i="4"/>
  <c r="V74" i="4"/>
  <c r="V65" i="4"/>
  <c r="V99" i="4"/>
  <c r="V14" i="4"/>
  <c r="V168" i="4"/>
  <c r="V30" i="4"/>
  <c r="V175" i="4"/>
  <c r="V85" i="4"/>
  <c r="V185" i="4"/>
  <c r="V86" i="4"/>
  <c r="V92" i="4"/>
  <c r="V32" i="4"/>
  <c r="V38" i="4"/>
  <c r="V138" i="4"/>
  <c r="V73" i="4"/>
  <c r="V13" i="4"/>
  <c r="V91" i="4"/>
  <c r="V158" i="4"/>
  <c r="V53" i="4"/>
  <c r="V103" i="4"/>
  <c r="V186" i="4"/>
  <c r="V88" i="4"/>
  <c r="V188" i="4"/>
  <c r="V159" i="4"/>
  <c r="V182" i="4"/>
  <c r="V157" i="4"/>
  <c r="V61" i="4"/>
  <c r="V31" i="4"/>
  <c r="V106" i="4"/>
  <c r="V41" i="4"/>
  <c r="V167" i="4"/>
  <c r="V114" i="4"/>
  <c r="V5" i="4"/>
  <c r="V191" i="4"/>
  <c r="V152" i="4"/>
  <c r="V184" i="4"/>
  <c r="V172" i="4"/>
  <c r="V174" i="4"/>
  <c r="V131" i="4"/>
  <c r="V126" i="4"/>
  <c r="V47" i="4"/>
  <c r="V45" i="4"/>
  <c r="V9" i="4"/>
  <c r="V111" i="4"/>
  <c r="V201" i="4"/>
  <c r="V3" i="4"/>
  <c r="V24" i="4"/>
  <c r="V123" i="4"/>
  <c r="V133" i="4"/>
  <c r="V170" i="4"/>
  <c r="V179" i="4"/>
  <c r="V183" i="4"/>
  <c r="V169" i="4"/>
  <c r="V56" i="4"/>
  <c r="V28" i="4"/>
  <c r="V144" i="4"/>
  <c r="V135" i="4"/>
  <c r="V26" i="4"/>
  <c r="V142" i="4"/>
  <c r="V137" i="4"/>
  <c r="V141" i="4"/>
  <c r="V151" i="4"/>
  <c r="V119" i="4"/>
  <c r="V82" i="4"/>
  <c r="V108" i="4"/>
  <c r="V100" i="4"/>
  <c r="V192" i="4"/>
  <c r="V71" i="4"/>
  <c r="V62" i="4"/>
  <c r="V164" i="4"/>
  <c r="V7" i="4"/>
  <c r="V93" i="4"/>
  <c r="V51" i="4"/>
  <c r="V37" i="4"/>
  <c r="V112" i="4"/>
  <c r="V78" i="4"/>
  <c r="V109" i="4"/>
  <c r="V190" i="4"/>
  <c r="V147" i="4"/>
  <c r="V117" i="4"/>
  <c r="V198" i="4"/>
  <c r="V64" i="4"/>
  <c r="V177" i="4"/>
  <c r="V129" i="4"/>
  <c r="V80" i="4"/>
  <c r="V118" i="4"/>
  <c r="V18" i="4"/>
  <c r="V66" i="4"/>
  <c r="V23" i="4"/>
  <c r="V8" i="4"/>
  <c r="V166" i="4"/>
  <c r="V44" i="4"/>
  <c r="V132" i="4"/>
  <c r="V22" i="4"/>
  <c r="V70" i="4"/>
  <c r="V63" i="4"/>
  <c r="V19" i="4"/>
  <c r="V113" i="4"/>
  <c r="V156" i="4"/>
  <c r="V76" i="4"/>
  <c r="V165" i="4"/>
  <c r="V27" i="4"/>
  <c r="V68" i="4"/>
  <c r="V6" i="4"/>
  <c r="V125" i="4"/>
  <c r="V34" i="4"/>
  <c r="V160" i="4"/>
  <c r="V33" i="4"/>
  <c r="V120" i="4"/>
  <c r="V59" i="4"/>
  <c r="V153" i="4"/>
  <c r="V58" i="4"/>
  <c r="V139" i="4"/>
  <c r="V15" i="4"/>
  <c r="V4" i="4"/>
  <c r="V57" i="4"/>
  <c r="V105" i="4"/>
  <c r="V171" i="4"/>
  <c r="V77" i="4"/>
  <c r="V194" i="4"/>
  <c r="V187" i="4"/>
  <c r="V25" i="4"/>
  <c r="V146" i="4"/>
  <c r="V130" i="4"/>
  <c r="V155" i="4"/>
  <c r="V162" i="4"/>
  <c r="V178" i="4"/>
  <c r="V199" i="4"/>
  <c r="V69" i="4"/>
  <c r="V98" i="4"/>
  <c r="V154" i="4"/>
  <c r="V124" i="4"/>
  <c r="V29" i="4"/>
  <c r="V89" i="4"/>
  <c r="V97" i="4"/>
  <c r="V181" i="4"/>
  <c r="V81" i="4"/>
  <c r="V143" i="4"/>
  <c r="V42" i="4"/>
  <c r="V127" i="4"/>
  <c r="V161" i="4"/>
  <c r="V180" i="4"/>
  <c r="V49" i="4"/>
  <c r="V75" i="4"/>
  <c r="V121" i="4"/>
  <c r="V35" i="4"/>
  <c r="V72" i="4"/>
  <c r="V197" i="4"/>
  <c r="V149" i="4"/>
  <c r="V102" i="4"/>
  <c r="V134" i="4"/>
  <c r="V150" i="4"/>
  <c r="V43" i="4"/>
  <c r="X14" i="2"/>
  <c r="Q24" i="9" l="1"/>
  <c r="R31" i="9" s="1"/>
  <c r="K31" i="9"/>
  <c r="J38" i="9" s="1"/>
  <c r="J39" i="9" s="1"/>
  <c r="K39" i="9" s="1"/>
  <c r="K32" i="9"/>
  <c r="L38" i="9" s="1"/>
  <c r="L39" i="9" s="1"/>
  <c r="M39" i="9" s="1"/>
  <c r="E13" i="1"/>
  <c r="V204" i="4"/>
  <c r="K24" i="4" s="1"/>
  <c r="X15" i="2"/>
  <c r="R32" i="9" l="1"/>
  <c r="K25" i="4"/>
  <c r="K31" i="4" s="1"/>
  <c r="J38" i="4" s="1"/>
  <c r="J39" i="4" s="1"/>
  <c r="K39" i="4" s="1"/>
  <c r="Q24" i="4"/>
  <c r="E14" i="1"/>
  <c r="X16" i="2"/>
  <c r="K32" i="4" l="1"/>
  <c r="L38" i="4" s="1"/>
  <c r="L39" i="4" s="1"/>
  <c r="M39" i="4" s="1"/>
  <c r="R32" i="4"/>
  <c r="R31" i="4"/>
  <c r="E15" i="1"/>
  <c r="X17" i="2"/>
  <c r="E16" i="1" l="1"/>
  <c r="X18" i="2"/>
  <c r="E17" i="1" l="1"/>
  <c r="X19" i="2"/>
  <c r="E18" i="1" l="1"/>
  <c r="X20" i="2"/>
  <c r="E19" i="1" l="1"/>
  <c r="X21" i="2"/>
  <c r="E20" i="1" l="1"/>
  <c r="X22" i="2"/>
  <c r="E21" i="1" l="1"/>
  <c r="X23" i="2"/>
  <c r="E22" i="1" l="1"/>
  <c r="X24" i="2"/>
  <c r="E23" i="1" l="1"/>
  <c r="X25" i="2"/>
  <c r="E24" i="1" l="1"/>
  <c r="X26" i="2"/>
  <c r="E25" i="1" l="1"/>
  <c r="X27" i="2"/>
  <c r="E26" i="1" l="1"/>
  <c r="X28" i="2"/>
  <c r="D49" i="2"/>
  <c r="B43" i="5" s="1"/>
  <c r="D46" i="2"/>
  <c r="B40" i="5" s="1"/>
  <c r="D156" i="2"/>
  <c r="B150" i="5" s="1"/>
  <c r="D165" i="2"/>
  <c r="B159" i="5" s="1"/>
  <c r="D208" i="2"/>
  <c r="B202" i="5" s="1"/>
  <c r="D207" i="2"/>
  <c r="B201" i="5" s="1"/>
  <c r="D140" i="2"/>
  <c r="B134" i="5" s="1"/>
  <c r="D25" i="2"/>
  <c r="B19" i="5" s="1"/>
  <c r="D199" i="2"/>
  <c r="B193" i="5" s="1"/>
  <c r="D138" i="2"/>
  <c r="B132" i="5" s="1"/>
  <c r="D190" i="2"/>
  <c r="B184" i="5" s="1"/>
  <c r="D128" i="2"/>
  <c r="B122" i="5" s="1"/>
  <c r="D184" i="2"/>
  <c r="B178" i="5" s="1"/>
  <c r="D110" i="2"/>
  <c r="B104" i="5" s="1"/>
  <c r="D176" i="2"/>
  <c r="B170" i="5" s="1"/>
  <c r="D94" i="2"/>
  <c r="B88" i="5" s="1"/>
  <c r="D166" i="2"/>
  <c r="B160" i="5" s="1"/>
  <c r="D73" i="2"/>
  <c r="B67" i="5" s="1"/>
  <c r="D206" i="2"/>
  <c r="B200" i="5" s="1"/>
  <c r="D183" i="2"/>
  <c r="B177" i="5" s="1"/>
  <c r="D158" i="2"/>
  <c r="B152" i="5" s="1"/>
  <c r="D137" i="2"/>
  <c r="B131" i="5" s="1"/>
  <c r="D90" i="2"/>
  <c r="B84" i="5" s="1"/>
  <c r="D30" i="2"/>
  <c r="B24" i="5" s="1"/>
  <c r="D200" i="2"/>
  <c r="B194" i="5" s="1"/>
  <c r="D182" i="2"/>
  <c r="B176" i="5" s="1"/>
  <c r="D157" i="2"/>
  <c r="B151" i="5" s="1"/>
  <c r="D129" i="2"/>
  <c r="B123" i="5" s="1"/>
  <c r="D89" i="2"/>
  <c r="B83" i="5" s="1"/>
  <c r="D26" i="2"/>
  <c r="B20" i="5" s="1"/>
  <c r="D198" i="2"/>
  <c r="B192" i="5" s="1"/>
  <c r="D175" i="2"/>
  <c r="B169" i="5" s="1"/>
  <c r="D149" i="2"/>
  <c r="B143" i="5" s="1"/>
  <c r="D126" i="2"/>
  <c r="B120" i="5" s="1"/>
  <c r="D70" i="2"/>
  <c r="B64" i="5" s="1"/>
  <c r="D192" i="2"/>
  <c r="B186" i="5" s="1"/>
  <c r="D174" i="2"/>
  <c r="B168" i="5" s="1"/>
  <c r="D148" i="2"/>
  <c r="B142" i="5" s="1"/>
  <c r="D114" i="2"/>
  <c r="B108" i="5" s="1"/>
  <c r="D66" i="2"/>
  <c r="B60" i="5" s="1"/>
  <c r="D191" i="2"/>
  <c r="B185" i="5" s="1"/>
  <c r="D167" i="2"/>
  <c r="B161" i="5" s="1"/>
  <c r="D146" i="2"/>
  <c r="B140" i="5" s="1"/>
  <c r="D113" i="2"/>
  <c r="B107" i="5" s="1"/>
  <c r="D50" i="2"/>
  <c r="B44" i="5" s="1"/>
  <c r="D205" i="2"/>
  <c r="B199" i="5" s="1"/>
  <c r="D197" i="2"/>
  <c r="B191" i="5" s="1"/>
  <c r="D189" i="2"/>
  <c r="B183" i="5" s="1"/>
  <c r="D181" i="2"/>
  <c r="B175" i="5" s="1"/>
  <c r="D173" i="2"/>
  <c r="B167" i="5" s="1"/>
  <c r="D164" i="2"/>
  <c r="B158" i="5" s="1"/>
  <c r="D154" i="2"/>
  <c r="B148" i="5" s="1"/>
  <c r="D145" i="2"/>
  <c r="B139" i="5" s="1"/>
  <c r="D136" i="2"/>
  <c r="B130" i="5" s="1"/>
  <c r="D125" i="2"/>
  <c r="B119" i="5" s="1"/>
  <c r="D106" i="2"/>
  <c r="B100" i="5" s="1"/>
  <c r="D86" i="2"/>
  <c r="B80" i="5" s="1"/>
  <c r="D65" i="2"/>
  <c r="B59" i="5" s="1"/>
  <c r="D42" i="2"/>
  <c r="B36" i="5" s="1"/>
  <c r="D22" i="2"/>
  <c r="B16" i="5" s="1"/>
  <c r="D204" i="2"/>
  <c r="B198" i="5" s="1"/>
  <c r="D196" i="2"/>
  <c r="B190" i="5" s="1"/>
  <c r="D188" i="2"/>
  <c r="B182" i="5" s="1"/>
  <c r="D180" i="2"/>
  <c r="B174" i="5" s="1"/>
  <c r="D172" i="2"/>
  <c r="B166" i="5" s="1"/>
  <c r="D162" i="2"/>
  <c r="B156" i="5" s="1"/>
  <c r="D153" i="2"/>
  <c r="B147" i="5" s="1"/>
  <c r="D144" i="2"/>
  <c r="B138" i="5" s="1"/>
  <c r="D134" i="2"/>
  <c r="B128" i="5" s="1"/>
  <c r="D122" i="2"/>
  <c r="B116" i="5" s="1"/>
  <c r="D105" i="2"/>
  <c r="B99" i="5" s="1"/>
  <c r="D82" i="2"/>
  <c r="B76" i="5" s="1"/>
  <c r="D62" i="2"/>
  <c r="B56" i="5" s="1"/>
  <c r="D41" i="2"/>
  <c r="B35" i="5" s="1"/>
  <c r="D18" i="2"/>
  <c r="B12" i="5" s="1"/>
  <c r="D10" i="2"/>
  <c r="D203" i="2"/>
  <c r="B197" i="5" s="1"/>
  <c r="D195" i="2"/>
  <c r="B189" i="5" s="1"/>
  <c r="D187" i="2"/>
  <c r="B181" i="5" s="1"/>
  <c r="D179" i="2"/>
  <c r="B173" i="5" s="1"/>
  <c r="D170" i="2"/>
  <c r="B164" i="5" s="1"/>
  <c r="D161" i="2"/>
  <c r="B155" i="5" s="1"/>
  <c r="D152" i="2"/>
  <c r="B146" i="5" s="1"/>
  <c r="D143" i="2"/>
  <c r="B137" i="5" s="1"/>
  <c r="D133" i="2"/>
  <c r="B127" i="5" s="1"/>
  <c r="D121" i="2"/>
  <c r="B115" i="5" s="1"/>
  <c r="D102" i="2"/>
  <c r="B96" i="5" s="1"/>
  <c r="D81" i="2"/>
  <c r="B75" i="5" s="1"/>
  <c r="D58" i="2"/>
  <c r="B52" i="5" s="1"/>
  <c r="D38" i="2"/>
  <c r="B32" i="5" s="1"/>
  <c r="D17" i="2"/>
  <c r="B11" i="5" s="1"/>
  <c r="D202" i="2"/>
  <c r="B196" i="5" s="1"/>
  <c r="D194" i="2"/>
  <c r="B188" i="5" s="1"/>
  <c r="D186" i="2"/>
  <c r="B180" i="5" s="1"/>
  <c r="D178" i="2"/>
  <c r="B172" i="5" s="1"/>
  <c r="D169" i="2"/>
  <c r="B163" i="5" s="1"/>
  <c r="D160" i="2"/>
  <c r="B154" i="5" s="1"/>
  <c r="D151" i="2"/>
  <c r="B145" i="5" s="1"/>
  <c r="D142" i="2"/>
  <c r="B136" i="5" s="1"/>
  <c r="D132" i="2"/>
  <c r="B126" i="5" s="1"/>
  <c r="D120" i="2"/>
  <c r="B114" i="5" s="1"/>
  <c r="D98" i="2"/>
  <c r="B92" i="5" s="1"/>
  <c r="D78" i="2"/>
  <c r="B72" i="5" s="1"/>
  <c r="D57" i="2"/>
  <c r="B51" i="5" s="1"/>
  <c r="D34" i="2"/>
  <c r="B28" i="5" s="1"/>
  <c r="D14" i="2"/>
  <c r="B8" i="5" s="1"/>
  <c r="D9" i="2"/>
  <c r="B3" i="5" s="1"/>
  <c r="D201" i="2"/>
  <c r="B195" i="5" s="1"/>
  <c r="D193" i="2"/>
  <c r="B187" i="5" s="1"/>
  <c r="D185" i="2"/>
  <c r="B179" i="5" s="1"/>
  <c r="D177" i="2"/>
  <c r="B171" i="5" s="1"/>
  <c r="D168" i="2"/>
  <c r="B162" i="5" s="1"/>
  <c r="D159" i="2"/>
  <c r="B153" i="5" s="1"/>
  <c r="D150" i="2"/>
  <c r="B144" i="5" s="1"/>
  <c r="D141" i="2"/>
  <c r="B135" i="5" s="1"/>
  <c r="D130" i="2"/>
  <c r="B124" i="5" s="1"/>
  <c r="D118" i="2"/>
  <c r="B112" i="5" s="1"/>
  <c r="D97" i="2"/>
  <c r="B91" i="5" s="1"/>
  <c r="D74" i="2"/>
  <c r="B68" i="5" s="1"/>
  <c r="D54" i="2"/>
  <c r="B48" i="5" s="1"/>
  <c r="D33" i="2"/>
  <c r="B27" i="5" s="1"/>
  <c r="D112" i="2"/>
  <c r="B106" i="5" s="1"/>
  <c r="D104" i="2"/>
  <c r="B98" i="5" s="1"/>
  <c r="D96" i="2"/>
  <c r="B90" i="5" s="1"/>
  <c r="D88" i="2"/>
  <c r="B82" i="5" s="1"/>
  <c r="D80" i="2"/>
  <c r="B74" i="5" s="1"/>
  <c r="D72" i="2"/>
  <c r="B66" i="5" s="1"/>
  <c r="D64" i="2"/>
  <c r="B58" i="5" s="1"/>
  <c r="D56" i="2"/>
  <c r="B50" i="5" s="1"/>
  <c r="D48" i="2"/>
  <c r="B42" i="5" s="1"/>
  <c r="D40" i="2"/>
  <c r="B34" i="5" s="1"/>
  <c r="D32" i="2"/>
  <c r="B26" i="5" s="1"/>
  <c r="D24" i="2"/>
  <c r="B18" i="5" s="1"/>
  <c r="D16" i="2"/>
  <c r="B10" i="5" s="1"/>
  <c r="D135" i="2"/>
  <c r="B129" i="5" s="1"/>
  <c r="D127" i="2"/>
  <c r="B121" i="5" s="1"/>
  <c r="D119" i="2"/>
  <c r="B113" i="5" s="1"/>
  <c r="D111" i="2"/>
  <c r="B105" i="5" s="1"/>
  <c r="D103" i="2"/>
  <c r="B97" i="5" s="1"/>
  <c r="D95" i="2"/>
  <c r="B89" i="5" s="1"/>
  <c r="D87" i="2"/>
  <c r="B81" i="5" s="1"/>
  <c r="D79" i="2"/>
  <c r="B73" i="5" s="1"/>
  <c r="D71" i="2"/>
  <c r="B65" i="5" s="1"/>
  <c r="D63" i="2"/>
  <c r="B57" i="5" s="1"/>
  <c r="D55" i="2"/>
  <c r="B49" i="5" s="1"/>
  <c r="D47" i="2"/>
  <c r="B41" i="5" s="1"/>
  <c r="D39" i="2"/>
  <c r="B33" i="5" s="1"/>
  <c r="D31" i="2"/>
  <c r="B25" i="5" s="1"/>
  <c r="D23" i="2"/>
  <c r="B17" i="5" s="1"/>
  <c r="D15" i="2"/>
  <c r="B9" i="5" s="1"/>
  <c r="D117" i="2"/>
  <c r="B111" i="5" s="1"/>
  <c r="D109" i="2"/>
  <c r="B103" i="5" s="1"/>
  <c r="D101" i="2"/>
  <c r="B95" i="5" s="1"/>
  <c r="D93" i="2"/>
  <c r="B87" i="5" s="1"/>
  <c r="D85" i="2"/>
  <c r="B79" i="5" s="1"/>
  <c r="D77" i="2"/>
  <c r="B71" i="5" s="1"/>
  <c r="D69" i="2"/>
  <c r="B63" i="5" s="1"/>
  <c r="D61" i="2"/>
  <c r="B55" i="5" s="1"/>
  <c r="D53" i="2"/>
  <c r="B47" i="5" s="1"/>
  <c r="D45" i="2"/>
  <c r="B39" i="5" s="1"/>
  <c r="D37" i="2"/>
  <c r="B31" i="5" s="1"/>
  <c r="D29" i="2"/>
  <c r="B23" i="5" s="1"/>
  <c r="D21" i="2"/>
  <c r="B15" i="5" s="1"/>
  <c r="D13" i="2"/>
  <c r="B7" i="5" s="1"/>
  <c r="D124" i="2"/>
  <c r="B118" i="5" s="1"/>
  <c r="D116" i="2"/>
  <c r="B110" i="5" s="1"/>
  <c r="D108" i="2"/>
  <c r="B102" i="5" s="1"/>
  <c r="D100" i="2"/>
  <c r="B94" i="5" s="1"/>
  <c r="D92" i="2"/>
  <c r="B86" i="5" s="1"/>
  <c r="D84" i="2"/>
  <c r="B78" i="5" s="1"/>
  <c r="D76" i="2"/>
  <c r="B70" i="5" s="1"/>
  <c r="D68" i="2"/>
  <c r="B62" i="5" s="1"/>
  <c r="D60" i="2"/>
  <c r="B54" i="5" s="1"/>
  <c r="D52" i="2"/>
  <c r="B46" i="5" s="1"/>
  <c r="D44" i="2"/>
  <c r="B38" i="5" s="1"/>
  <c r="D36" i="2"/>
  <c r="B30" i="5" s="1"/>
  <c r="D28" i="2"/>
  <c r="B22" i="5" s="1"/>
  <c r="D20" i="2"/>
  <c r="B14" i="5" s="1"/>
  <c r="D12" i="2"/>
  <c r="B6" i="5" s="1"/>
  <c r="D171" i="2"/>
  <c r="B165" i="5" s="1"/>
  <c r="D163" i="2"/>
  <c r="B157" i="5" s="1"/>
  <c r="D155" i="2"/>
  <c r="B149" i="5" s="1"/>
  <c r="D147" i="2"/>
  <c r="B141" i="5" s="1"/>
  <c r="D139" i="2"/>
  <c r="B133" i="5" s="1"/>
  <c r="D131" i="2"/>
  <c r="B125" i="5" s="1"/>
  <c r="D123" i="2"/>
  <c r="B117" i="5" s="1"/>
  <c r="D115" i="2"/>
  <c r="B109" i="5" s="1"/>
  <c r="D107" i="2"/>
  <c r="B101" i="5" s="1"/>
  <c r="D99" i="2"/>
  <c r="B93" i="5" s="1"/>
  <c r="D91" i="2"/>
  <c r="B85" i="5" s="1"/>
  <c r="D83" i="2"/>
  <c r="B77" i="5" s="1"/>
  <c r="D75" i="2"/>
  <c r="B69" i="5" s="1"/>
  <c r="D67" i="2"/>
  <c r="B61" i="5" s="1"/>
  <c r="D59" i="2"/>
  <c r="B53" i="5" s="1"/>
  <c r="D51" i="2"/>
  <c r="B45" i="5" s="1"/>
  <c r="D43" i="2"/>
  <c r="B37" i="5" s="1"/>
  <c r="D35" i="2"/>
  <c r="B29" i="5" s="1"/>
  <c r="D27" i="2"/>
  <c r="B21" i="5" s="1"/>
  <c r="D19" i="2"/>
  <c r="B13" i="5" s="1"/>
  <c r="D11" i="2"/>
  <c r="B5" i="5" s="1"/>
  <c r="E9" i="2"/>
  <c r="I9" i="2" s="1"/>
  <c r="O9" i="2" s="1"/>
  <c r="E3" i="5" s="1"/>
  <c r="M63" i="5" s="1"/>
  <c r="E27" i="1" l="1"/>
  <c r="Q10" i="2"/>
  <c r="Q11" i="2" s="1"/>
  <c r="Q12" i="2" s="1"/>
  <c r="Q13" i="2" s="1"/>
  <c r="Q14" i="2" s="1"/>
  <c r="Q15" i="2" s="1"/>
  <c r="Q16" i="2" s="1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  <c r="Q59" i="2" s="1"/>
  <c r="Q60" i="2" s="1"/>
  <c r="Q61" i="2" s="1"/>
  <c r="Q62" i="2" s="1"/>
  <c r="Q63" i="2" s="1"/>
  <c r="Q64" i="2" s="1"/>
  <c r="Q65" i="2" s="1"/>
  <c r="Q66" i="2" s="1"/>
  <c r="Q67" i="2" s="1"/>
  <c r="Q68" i="2" s="1"/>
  <c r="Q69" i="2" s="1"/>
  <c r="Q70" i="2" s="1"/>
  <c r="Q71" i="2" s="1"/>
  <c r="Q72" i="2" s="1"/>
  <c r="Q73" i="2" s="1"/>
  <c r="Q74" i="2" s="1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Q99" i="2" s="1"/>
  <c r="Q100" i="2" s="1"/>
  <c r="Q101" i="2" s="1"/>
  <c r="Q102" i="2" s="1"/>
  <c r="Q103" i="2" s="1"/>
  <c r="Q104" i="2" s="1"/>
  <c r="Q105" i="2" s="1"/>
  <c r="Q106" i="2" s="1"/>
  <c r="Q107" i="2" s="1"/>
  <c r="Q108" i="2" s="1"/>
  <c r="Q109" i="2" s="1"/>
  <c r="Q110" i="2" s="1"/>
  <c r="Q111" i="2" s="1"/>
  <c r="Q112" i="2" s="1"/>
  <c r="Q113" i="2" s="1"/>
  <c r="Q114" i="2" s="1"/>
  <c r="Q115" i="2" s="1"/>
  <c r="Q116" i="2" s="1"/>
  <c r="Q117" i="2" s="1"/>
  <c r="Q118" i="2" s="1"/>
  <c r="Q119" i="2" s="1"/>
  <c r="Q120" i="2" s="1"/>
  <c r="Q121" i="2" s="1"/>
  <c r="Q122" i="2" s="1"/>
  <c r="Q123" i="2" s="1"/>
  <c r="Q124" i="2" s="1"/>
  <c r="Q125" i="2" s="1"/>
  <c r="Q126" i="2" s="1"/>
  <c r="Q127" i="2" s="1"/>
  <c r="Q128" i="2" s="1"/>
  <c r="Q129" i="2" s="1"/>
  <c r="Q130" i="2" s="1"/>
  <c r="Q131" i="2" s="1"/>
  <c r="Q132" i="2" s="1"/>
  <c r="Q133" i="2" s="1"/>
  <c r="Q134" i="2" s="1"/>
  <c r="Q135" i="2" s="1"/>
  <c r="Q136" i="2" s="1"/>
  <c r="Q137" i="2" s="1"/>
  <c r="Q138" i="2" s="1"/>
  <c r="Q139" i="2" s="1"/>
  <c r="Q140" i="2" s="1"/>
  <c r="Q141" i="2" s="1"/>
  <c r="Q142" i="2" s="1"/>
  <c r="Q143" i="2" s="1"/>
  <c r="Q144" i="2" s="1"/>
  <c r="Q145" i="2" s="1"/>
  <c r="Q146" i="2" s="1"/>
  <c r="Q147" i="2" s="1"/>
  <c r="Q148" i="2" s="1"/>
  <c r="Q149" i="2" s="1"/>
  <c r="Q150" i="2" s="1"/>
  <c r="Q151" i="2" s="1"/>
  <c r="Q152" i="2" s="1"/>
  <c r="Q153" i="2" s="1"/>
  <c r="Q154" i="2" s="1"/>
  <c r="Q155" i="2" s="1"/>
  <c r="Q156" i="2" s="1"/>
  <c r="Q157" i="2" s="1"/>
  <c r="Q158" i="2" s="1"/>
  <c r="Q159" i="2" s="1"/>
  <c r="Q160" i="2" s="1"/>
  <c r="Q161" i="2" s="1"/>
  <c r="Q162" i="2" s="1"/>
  <c r="Q163" i="2" s="1"/>
  <c r="Q164" i="2" s="1"/>
  <c r="Q165" i="2" s="1"/>
  <c r="Q166" i="2" s="1"/>
  <c r="Q167" i="2" s="1"/>
  <c r="Q168" i="2" s="1"/>
  <c r="Q169" i="2" s="1"/>
  <c r="Q170" i="2" s="1"/>
  <c r="Q171" i="2" s="1"/>
  <c r="Q172" i="2" s="1"/>
  <c r="Q173" i="2" s="1"/>
  <c r="Q174" i="2" s="1"/>
  <c r="Q175" i="2" s="1"/>
  <c r="Q176" i="2" s="1"/>
  <c r="Q177" i="2" s="1"/>
  <c r="Q178" i="2" s="1"/>
  <c r="Q179" i="2" s="1"/>
  <c r="Q180" i="2" s="1"/>
  <c r="Q181" i="2" s="1"/>
  <c r="Q182" i="2" s="1"/>
  <c r="Q183" i="2" s="1"/>
  <c r="Q184" i="2" s="1"/>
  <c r="Q185" i="2" s="1"/>
  <c r="Q186" i="2" s="1"/>
  <c r="Q187" i="2" s="1"/>
  <c r="Q188" i="2" s="1"/>
  <c r="Q189" i="2" s="1"/>
  <c r="Q190" i="2" s="1"/>
  <c r="Q191" i="2" s="1"/>
  <c r="Q192" i="2" s="1"/>
  <c r="Q193" i="2" s="1"/>
  <c r="Q194" i="2" s="1"/>
  <c r="Q195" i="2" s="1"/>
  <c r="Q196" i="2" s="1"/>
  <c r="Q197" i="2" s="1"/>
  <c r="Q198" i="2" s="1"/>
  <c r="Q199" i="2" s="1"/>
  <c r="Q200" i="2" s="1"/>
  <c r="Q201" i="2" s="1"/>
  <c r="Q202" i="2" s="1"/>
  <c r="Q203" i="2" s="1"/>
  <c r="Q204" i="2" s="1"/>
  <c r="Q205" i="2" s="1"/>
  <c r="Q206" i="2" s="1"/>
  <c r="Q207" i="2" s="1"/>
  <c r="Q208" i="2" s="1"/>
  <c r="B4" i="5"/>
  <c r="B204" i="5" s="1"/>
  <c r="B205" i="5" s="1"/>
  <c r="E10" i="2"/>
  <c r="E3" i="2"/>
  <c r="P9" i="2"/>
  <c r="D3" i="5" s="1"/>
  <c r="L63" i="5" l="1"/>
  <c r="K63" i="5"/>
  <c r="E28" i="1"/>
  <c r="J18" i="5"/>
  <c r="Q5" i="2"/>
  <c r="I10" i="2"/>
  <c r="L18" i="5" l="1"/>
  <c r="G22" i="8" s="1"/>
  <c r="D22" i="8"/>
  <c r="E29" i="1"/>
  <c r="E11" i="2"/>
  <c r="I11" i="2" s="1"/>
  <c r="O10" i="2"/>
  <c r="E4" i="5" s="1"/>
  <c r="M64" i="5" s="1"/>
  <c r="E30" i="1" l="1"/>
  <c r="E12" i="2"/>
  <c r="I12" i="2" s="1"/>
  <c r="O11" i="2"/>
  <c r="P10" i="2"/>
  <c r="D4" i="5" s="1"/>
  <c r="K64" i="5" l="1"/>
  <c r="L64" i="5"/>
  <c r="E31" i="1"/>
  <c r="P11" i="2"/>
  <c r="D5" i="5" s="1"/>
  <c r="E5" i="5"/>
  <c r="M65" i="5" s="1"/>
  <c r="E13" i="2"/>
  <c r="I13" i="2" s="1"/>
  <c r="O13" i="2" s="1"/>
  <c r="O12" i="2"/>
  <c r="L65" i="5" l="1"/>
  <c r="K65" i="5"/>
  <c r="E32" i="1"/>
  <c r="P13" i="2"/>
  <c r="D7" i="5" s="1"/>
  <c r="E7" i="5"/>
  <c r="M67" i="5" s="1"/>
  <c r="P12" i="2"/>
  <c r="D6" i="5" s="1"/>
  <c r="E6" i="5"/>
  <c r="M66" i="5" s="1"/>
  <c r="E14" i="2"/>
  <c r="I14" i="2" s="1"/>
  <c r="O14" i="2" s="1"/>
  <c r="L66" i="5" l="1"/>
  <c r="K66" i="5"/>
  <c r="L67" i="5"/>
  <c r="K67" i="5"/>
  <c r="E33" i="1"/>
  <c r="P14" i="2"/>
  <c r="D8" i="5" s="1"/>
  <c r="E8" i="5"/>
  <c r="M68" i="5" s="1"/>
  <c r="E15" i="2"/>
  <c r="I15" i="2" s="1"/>
  <c r="O15" i="2" s="1"/>
  <c r="L68" i="5" l="1"/>
  <c r="K68" i="5"/>
  <c r="E34" i="1"/>
  <c r="P15" i="2"/>
  <c r="D9" i="5" s="1"/>
  <c r="E9" i="5"/>
  <c r="M69" i="5" s="1"/>
  <c r="E16" i="2"/>
  <c r="I16" i="2" s="1"/>
  <c r="O16" i="2" s="1"/>
  <c r="L69" i="5" l="1"/>
  <c r="K69" i="5"/>
  <c r="E35" i="1"/>
  <c r="P16" i="2"/>
  <c r="D10" i="5" s="1"/>
  <c r="E10" i="5"/>
  <c r="M70" i="5" s="1"/>
  <c r="E17" i="2"/>
  <c r="I17" i="2" s="1"/>
  <c r="O17" i="2" s="1"/>
  <c r="L70" i="5" l="1"/>
  <c r="K70" i="5"/>
  <c r="E36" i="1"/>
  <c r="P17" i="2"/>
  <c r="D11" i="5" s="1"/>
  <c r="E11" i="5"/>
  <c r="M71" i="5" s="1"/>
  <c r="E18" i="2"/>
  <c r="I18" i="2" s="1"/>
  <c r="O18" i="2" s="1"/>
  <c r="L71" i="5" l="1"/>
  <c r="K71" i="5"/>
  <c r="E37" i="1"/>
  <c r="P18" i="2"/>
  <c r="D12" i="5" s="1"/>
  <c r="E12" i="5"/>
  <c r="M72" i="5" s="1"/>
  <c r="E19" i="2"/>
  <c r="I19" i="2" s="1"/>
  <c r="O19" i="2" s="1"/>
  <c r="K72" i="5" l="1"/>
  <c r="L72" i="5"/>
  <c r="E38" i="1"/>
  <c r="P19" i="2"/>
  <c r="D13" i="5" s="1"/>
  <c r="E13" i="5"/>
  <c r="M73" i="5" s="1"/>
  <c r="E20" i="2"/>
  <c r="I20" i="2" s="1"/>
  <c r="O20" i="2" s="1"/>
  <c r="L73" i="5" l="1"/>
  <c r="K73" i="5"/>
  <c r="E39" i="1"/>
  <c r="P20" i="2"/>
  <c r="D14" i="5" s="1"/>
  <c r="E14" i="5"/>
  <c r="M74" i="5" s="1"/>
  <c r="E21" i="2"/>
  <c r="I21" i="2" s="1"/>
  <c r="O21" i="2" s="1"/>
  <c r="K74" i="5" l="1"/>
  <c r="L74" i="5"/>
  <c r="E40" i="1"/>
  <c r="P21" i="2"/>
  <c r="D15" i="5" s="1"/>
  <c r="E15" i="5"/>
  <c r="M75" i="5" s="1"/>
  <c r="E22" i="2"/>
  <c r="I22" i="2" s="1"/>
  <c r="O22" i="2" s="1"/>
  <c r="L75" i="5" l="1"/>
  <c r="K75" i="5"/>
  <c r="E41" i="1"/>
  <c r="P22" i="2"/>
  <c r="D16" i="5" s="1"/>
  <c r="E16" i="5"/>
  <c r="M76" i="5" s="1"/>
  <c r="E23" i="2"/>
  <c r="I23" i="2" s="1"/>
  <c r="O23" i="2" s="1"/>
  <c r="L76" i="5" l="1"/>
  <c r="K76" i="5"/>
  <c r="E42" i="1"/>
  <c r="P23" i="2"/>
  <c r="D17" i="5" s="1"/>
  <c r="E17" i="5"/>
  <c r="M77" i="5" s="1"/>
  <c r="E24" i="2"/>
  <c r="I24" i="2" s="1"/>
  <c r="O24" i="2" s="1"/>
  <c r="L77" i="5" l="1"/>
  <c r="K77" i="5"/>
  <c r="E43" i="1"/>
  <c r="P24" i="2"/>
  <c r="D18" i="5" s="1"/>
  <c r="E18" i="5"/>
  <c r="M78" i="5" s="1"/>
  <c r="E25" i="2"/>
  <c r="I25" i="2" s="1"/>
  <c r="O25" i="2" s="1"/>
  <c r="L78" i="5" l="1"/>
  <c r="K78" i="5"/>
  <c r="E44" i="1"/>
  <c r="P25" i="2"/>
  <c r="D19" i="5" s="1"/>
  <c r="E19" i="5"/>
  <c r="M79" i="5" s="1"/>
  <c r="E26" i="2"/>
  <c r="I26" i="2" s="1"/>
  <c r="O26" i="2" s="1"/>
  <c r="L79" i="5" l="1"/>
  <c r="K79" i="5"/>
  <c r="E45" i="1"/>
  <c r="P26" i="2"/>
  <c r="D20" i="5" s="1"/>
  <c r="E20" i="5"/>
  <c r="M80" i="5" s="1"/>
  <c r="E27" i="2"/>
  <c r="I27" i="2" s="1"/>
  <c r="O27" i="2" s="1"/>
  <c r="K80" i="5" l="1"/>
  <c r="L80" i="5"/>
  <c r="E46" i="1"/>
  <c r="P27" i="2"/>
  <c r="D21" i="5" s="1"/>
  <c r="E21" i="5"/>
  <c r="M81" i="5" s="1"/>
  <c r="E28" i="2"/>
  <c r="I28" i="2" s="1"/>
  <c r="O28" i="2" s="1"/>
  <c r="L81" i="5" l="1"/>
  <c r="K81" i="5"/>
  <c r="E47" i="1"/>
  <c r="P28" i="2"/>
  <c r="D22" i="5" s="1"/>
  <c r="E22" i="5"/>
  <c r="M82" i="5" s="1"/>
  <c r="E29" i="2"/>
  <c r="I29" i="2" s="1"/>
  <c r="O29" i="2" s="1"/>
  <c r="K82" i="5" l="1"/>
  <c r="L82" i="5"/>
  <c r="E48" i="1"/>
  <c r="P29" i="2"/>
  <c r="D23" i="5" s="1"/>
  <c r="E23" i="5"/>
  <c r="M83" i="5" s="1"/>
  <c r="E30" i="2"/>
  <c r="I30" i="2" s="1"/>
  <c r="O30" i="2" s="1"/>
  <c r="L83" i="5" l="1"/>
  <c r="K83" i="5"/>
  <c r="E49" i="1"/>
  <c r="P30" i="2"/>
  <c r="D24" i="5" s="1"/>
  <c r="E24" i="5"/>
  <c r="M84" i="5" s="1"/>
  <c r="E31" i="2"/>
  <c r="I31" i="2" s="1"/>
  <c r="O31" i="2" s="1"/>
  <c r="L84" i="5" l="1"/>
  <c r="K84" i="5"/>
  <c r="E50" i="1"/>
  <c r="P31" i="2"/>
  <c r="D25" i="5" s="1"/>
  <c r="E25" i="5"/>
  <c r="M85" i="5" s="1"/>
  <c r="E32" i="2"/>
  <c r="I32" i="2" s="1"/>
  <c r="O32" i="2" s="1"/>
  <c r="K85" i="5" l="1"/>
  <c r="L85" i="5"/>
  <c r="E51" i="1"/>
  <c r="P32" i="2"/>
  <c r="D26" i="5" s="1"/>
  <c r="E26" i="5"/>
  <c r="M86" i="5" s="1"/>
  <c r="E33" i="2"/>
  <c r="I33" i="2" s="1"/>
  <c r="O33" i="2" s="1"/>
  <c r="L86" i="5" l="1"/>
  <c r="K86" i="5"/>
  <c r="E52" i="1"/>
  <c r="P33" i="2"/>
  <c r="D27" i="5" s="1"/>
  <c r="E27" i="5"/>
  <c r="M87" i="5" s="1"/>
  <c r="E34" i="2"/>
  <c r="I34" i="2" s="1"/>
  <c r="O34" i="2" s="1"/>
  <c r="L87" i="5" l="1"/>
  <c r="K87" i="5"/>
  <c r="E53" i="1"/>
  <c r="P34" i="2"/>
  <c r="D28" i="5" s="1"/>
  <c r="E28" i="5"/>
  <c r="M88" i="5" s="1"/>
  <c r="E35" i="2"/>
  <c r="I35" i="2" s="1"/>
  <c r="O35" i="2" s="1"/>
  <c r="L88" i="5" l="1"/>
  <c r="K88" i="5"/>
  <c r="E54" i="1"/>
  <c r="P35" i="2"/>
  <c r="D29" i="5" s="1"/>
  <c r="E29" i="5"/>
  <c r="M89" i="5" s="1"/>
  <c r="E36" i="2"/>
  <c r="I36" i="2" s="1"/>
  <c r="O36" i="2" s="1"/>
  <c r="L89" i="5" l="1"/>
  <c r="K89" i="5"/>
  <c r="E55" i="1"/>
  <c r="P36" i="2"/>
  <c r="D30" i="5" s="1"/>
  <c r="E30" i="5"/>
  <c r="M90" i="5" s="1"/>
  <c r="E37" i="2"/>
  <c r="I37" i="2" s="1"/>
  <c r="O37" i="2" s="1"/>
  <c r="K90" i="5" l="1"/>
  <c r="L90" i="5"/>
  <c r="E56" i="1"/>
  <c r="P37" i="2"/>
  <c r="D31" i="5" s="1"/>
  <c r="E31" i="5"/>
  <c r="M91" i="5" s="1"/>
  <c r="E38" i="2"/>
  <c r="I38" i="2" s="1"/>
  <c r="O38" i="2" s="1"/>
  <c r="L91" i="5" l="1"/>
  <c r="K91" i="5"/>
  <c r="E57" i="1"/>
  <c r="P38" i="2"/>
  <c r="D32" i="5" s="1"/>
  <c r="E32" i="5"/>
  <c r="M92" i="5" s="1"/>
  <c r="E39" i="2"/>
  <c r="I39" i="2" s="1"/>
  <c r="O39" i="2" s="1"/>
  <c r="L92" i="5" l="1"/>
  <c r="K92" i="5"/>
  <c r="E58" i="1"/>
  <c r="P39" i="2"/>
  <c r="D33" i="5" s="1"/>
  <c r="E33" i="5"/>
  <c r="M93" i="5" s="1"/>
  <c r="E40" i="2"/>
  <c r="I40" i="2" s="1"/>
  <c r="O40" i="2" s="1"/>
  <c r="L93" i="5" l="1"/>
  <c r="K93" i="5"/>
  <c r="E59" i="1"/>
  <c r="P40" i="2"/>
  <c r="D34" i="5" s="1"/>
  <c r="E34" i="5"/>
  <c r="M94" i="5" s="1"/>
  <c r="E41" i="2"/>
  <c r="I41" i="2" s="1"/>
  <c r="O41" i="2" s="1"/>
  <c r="L94" i="5" l="1"/>
  <c r="K94" i="5"/>
  <c r="E60" i="1"/>
  <c r="P41" i="2"/>
  <c r="D35" i="5" s="1"/>
  <c r="E35" i="5"/>
  <c r="M95" i="5" s="1"/>
  <c r="E42" i="2"/>
  <c r="I42" i="2" s="1"/>
  <c r="O42" i="2" s="1"/>
  <c r="L95" i="5" l="1"/>
  <c r="K95" i="5"/>
  <c r="E61" i="1"/>
  <c r="P42" i="2"/>
  <c r="D36" i="5" s="1"/>
  <c r="E36" i="5"/>
  <c r="M96" i="5" s="1"/>
  <c r="E43" i="2"/>
  <c r="I43" i="2" s="1"/>
  <c r="O43" i="2" s="1"/>
  <c r="L96" i="5" l="1"/>
  <c r="K96" i="5"/>
  <c r="E62" i="1"/>
  <c r="P43" i="2"/>
  <c r="D37" i="5" s="1"/>
  <c r="E37" i="5"/>
  <c r="M97" i="5" s="1"/>
  <c r="E44" i="2"/>
  <c r="I44" i="2" s="1"/>
  <c r="O44" i="2" s="1"/>
  <c r="L97" i="5" l="1"/>
  <c r="K97" i="5"/>
  <c r="E63" i="1"/>
  <c r="P44" i="2"/>
  <c r="D38" i="5" s="1"/>
  <c r="E38" i="5"/>
  <c r="M98" i="5" s="1"/>
  <c r="E45" i="2"/>
  <c r="I45" i="2" s="1"/>
  <c r="O45" i="2" s="1"/>
  <c r="L98" i="5" l="1"/>
  <c r="K98" i="5"/>
  <c r="E64" i="1"/>
  <c r="P45" i="2"/>
  <c r="D39" i="5" s="1"/>
  <c r="E39" i="5"/>
  <c r="M99" i="5" s="1"/>
  <c r="E46" i="2"/>
  <c r="I46" i="2" s="1"/>
  <c r="O46" i="2" s="1"/>
  <c r="L99" i="5" l="1"/>
  <c r="K99" i="5"/>
  <c r="E65" i="1"/>
  <c r="P46" i="2"/>
  <c r="D40" i="5" s="1"/>
  <c r="E40" i="5"/>
  <c r="M100" i="5" s="1"/>
  <c r="E47" i="2"/>
  <c r="I47" i="2" s="1"/>
  <c r="O47" i="2" s="1"/>
  <c r="L100" i="5" l="1"/>
  <c r="K100" i="5"/>
  <c r="E66" i="1"/>
  <c r="P47" i="2"/>
  <c r="D41" i="5" s="1"/>
  <c r="E41" i="5"/>
  <c r="M101" i="5" s="1"/>
  <c r="E48" i="2"/>
  <c r="I48" i="2" s="1"/>
  <c r="O48" i="2" s="1"/>
  <c r="K101" i="5" l="1"/>
  <c r="L101" i="5"/>
  <c r="E67" i="1"/>
  <c r="P48" i="2"/>
  <c r="D42" i="5" s="1"/>
  <c r="E42" i="5"/>
  <c r="M102" i="5" s="1"/>
  <c r="E49" i="2"/>
  <c r="I49" i="2" s="1"/>
  <c r="O49" i="2" s="1"/>
  <c r="L102" i="5" l="1"/>
  <c r="K102" i="5"/>
  <c r="E68" i="1"/>
  <c r="P49" i="2"/>
  <c r="D43" i="5" s="1"/>
  <c r="E43" i="5"/>
  <c r="M103" i="5" s="1"/>
  <c r="E50" i="2"/>
  <c r="I50" i="2" s="1"/>
  <c r="O50" i="2" s="1"/>
  <c r="L103" i="5" l="1"/>
  <c r="K103" i="5"/>
  <c r="E69" i="1"/>
  <c r="P50" i="2"/>
  <c r="D44" i="5" s="1"/>
  <c r="E44" i="5"/>
  <c r="M104" i="5" s="1"/>
  <c r="E51" i="2"/>
  <c r="I51" i="2" s="1"/>
  <c r="O51" i="2" s="1"/>
  <c r="K104" i="5" l="1"/>
  <c r="L104" i="5"/>
  <c r="E70" i="1"/>
  <c r="P51" i="2"/>
  <c r="D45" i="5" s="1"/>
  <c r="E45" i="5"/>
  <c r="M105" i="5" s="1"/>
  <c r="E52" i="2"/>
  <c r="I52" i="2" s="1"/>
  <c r="O52" i="2" s="1"/>
  <c r="L105" i="5" l="1"/>
  <c r="K105" i="5"/>
  <c r="E71" i="1"/>
  <c r="P52" i="2"/>
  <c r="D46" i="5" s="1"/>
  <c r="E46" i="5"/>
  <c r="M106" i="5" s="1"/>
  <c r="E53" i="2"/>
  <c r="I53" i="2" s="1"/>
  <c r="O53" i="2" s="1"/>
  <c r="K106" i="5" l="1"/>
  <c r="L106" i="5"/>
  <c r="E72" i="1"/>
  <c r="P53" i="2"/>
  <c r="D47" i="5" s="1"/>
  <c r="E47" i="5"/>
  <c r="M107" i="5" s="1"/>
  <c r="E54" i="2"/>
  <c r="I54" i="2" s="1"/>
  <c r="O54" i="2" s="1"/>
  <c r="L107" i="5" l="1"/>
  <c r="K107" i="5"/>
  <c r="E73" i="1"/>
  <c r="P54" i="2"/>
  <c r="D48" i="5" s="1"/>
  <c r="E48" i="5"/>
  <c r="M108" i="5" s="1"/>
  <c r="E55" i="2"/>
  <c r="I55" i="2" s="1"/>
  <c r="O55" i="2" s="1"/>
  <c r="L108" i="5" l="1"/>
  <c r="K108" i="5"/>
  <c r="E74" i="1"/>
  <c r="P55" i="2"/>
  <c r="D49" i="5" s="1"/>
  <c r="E49" i="5"/>
  <c r="M109" i="5" s="1"/>
  <c r="E56" i="2"/>
  <c r="I56" i="2" s="1"/>
  <c r="O56" i="2" s="1"/>
  <c r="L109" i="5" l="1"/>
  <c r="K109" i="5"/>
  <c r="E75" i="1"/>
  <c r="P56" i="2"/>
  <c r="D50" i="5" s="1"/>
  <c r="E50" i="5"/>
  <c r="M110" i="5" s="1"/>
  <c r="E57" i="2"/>
  <c r="I57" i="2" s="1"/>
  <c r="O57" i="2" s="1"/>
  <c r="L110" i="5" l="1"/>
  <c r="K110" i="5"/>
  <c r="E76" i="1"/>
  <c r="P57" i="2"/>
  <c r="D51" i="5" s="1"/>
  <c r="E51" i="5"/>
  <c r="M111" i="5" s="1"/>
  <c r="E58" i="2"/>
  <c r="I58" i="2" s="1"/>
  <c r="O58" i="2" s="1"/>
  <c r="L111" i="5" l="1"/>
  <c r="K111" i="5"/>
  <c r="E77" i="1"/>
  <c r="P58" i="2"/>
  <c r="D52" i="5" s="1"/>
  <c r="E52" i="5"/>
  <c r="M112" i="5" s="1"/>
  <c r="E59" i="2"/>
  <c r="I59" i="2" s="1"/>
  <c r="O59" i="2" s="1"/>
  <c r="L112" i="5" l="1"/>
  <c r="K112" i="5"/>
  <c r="E78" i="1"/>
  <c r="P59" i="2"/>
  <c r="D53" i="5" s="1"/>
  <c r="E53" i="5"/>
  <c r="M113" i="5" s="1"/>
  <c r="E60" i="2"/>
  <c r="I60" i="2" s="1"/>
  <c r="O60" i="2" s="1"/>
  <c r="L113" i="5" l="1"/>
  <c r="K113" i="5"/>
  <c r="E79" i="1"/>
  <c r="P60" i="2"/>
  <c r="D54" i="5" s="1"/>
  <c r="E54" i="5"/>
  <c r="M114" i="5" s="1"/>
  <c r="E61" i="2"/>
  <c r="I61" i="2" s="1"/>
  <c r="O61" i="2" s="1"/>
  <c r="L114" i="5" l="1"/>
  <c r="K114" i="5"/>
  <c r="E80" i="1"/>
  <c r="P61" i="2"/>
  <c r="D55" i="5" s="1"/>
  <c r="E55" i="5"/>
  <c r="M115" i="5" s="1"/>
  <c r="E62" i="2"/>
  <c r="I62" i="2" s="1"/>
  <c r="O62" i="2" s="1"/>
  <c r="L115" i="5" l="1"/>
  <c r="K115" i="5"/>
  <c r="E81" i="1"/>
  <c r="P62" i="2"/>
  <c r="D56" i="5" s="1"/>
  <c r="E56" i="5"/>
  <c r="M116" i="5" s="1"/>
  <c r="E63" i="2"/>
  <c r="I63" i="2" s="1"/>
  <c r="O63" i="2" s="1"/>
  <c r="L116" i="5" l="1"/>
  <c r="K116" i="5"/>
  <c r="E82" i="1"/>
  <c r="P63" i="2"/>
  <c r="D57" i="5" s="1"/>
  <c r="E57" i="5"/>
  <c r="M117" i="5" s="1"/>
  <c r="E64" i="2"/>
  <c r="I64" i="2" s="1"/>
  <c r="O64" i="2" s="1"/>
  <c r="K117" i="5" l="1"/>
  <c r="L117" i="5"/>
  <c r="E83" i="1"/>
  <c r="P64" i="2"/>
  <c r="D58" i="5" s="1"/>
  <c r="E58" i="5"/>
  <c r="M118" i="5" s="1"/>
  <c r="E65" i="2"/>
  <c r="I65" i="2" s="1"/>
  <c r="O65" i="2" s="1"/>
  <c r="L118" i="5" l="1"/>
  <c r="K118" i="5"/>
  <c r="E84" i="1"/>
  <c r="P65" i="2"/>
  <c r="D59" i="5" s="1"/>
  <c r="E59" i="5"/>
  <c r="M119" i="5" s="1"/>
  <c r="E66" i="2"/>
  <c r="I66" i="2" s="1"/>
  <c r="O66" i="2" s="1"/>
  <c r="L119" i="5" l="1"/>
  <c r="K119" i="5"/>
  <c r="E85" i="1"/>
  <c r="P66" i="2"/>
  <c r="D60" i="5" s="1"/>
  <c r="E60" i="5"/>
  <c r="M120" i="5" s="1"/>
  <c r="E67" i="2"/>
  <c r="I67" i="2" s="1"/>
  <c r="O67" i="2" s="1"/>
  <c r="K120" i="5" l="1"/>
  <c r="L120" i="5"/>
  <c r="E86" i="1"/>
  <c r="P67" i="2"/>
  <c r="D61" i="5" s="1"/>
  <c r="E61" i="5"/>
  <c r="M121" i="5" s="1"/>
  <c r="E68" i="2"/>
  <c r="I68" i="2" s="1"/>
  <c r="O68" i="2" s="1"/>
  <c r="L121" i="5" l="1"/>
  <c r="K121" i="5"/>
  <c r="E87" i="1"/>
  <c r="P68" i="2"/>
  <c r="D62" i="5" s="1"/>
  <c r="D65" i="8" s="1"/>
  <c r="G65" i="8" s="1"/>
  <c r="E62" i="5"/>
  <c r="M122" i="5" s="1"/>
  <c r="E69" i="2"/>
  <c r="I69" i="2" s="1"/>
  <c r="O69" i="2" s="1"/>
  <c r="K122" i="5" l="1"/>
  <c r="L122" i="5"/>
  <c r="E88" i="1"/>
  <c r="P69" i="2"/>
  <c r="D63" i="5" s="1"/>
  <c r="E63" i="5"/>
  <c r="M123" i="5" s="1"/>
  <c r="E70" i="2"/>
  <c r="I70" i="2" s="1"/>
  <c r="O70" i="2" s="1"/>
  <c r="L123" i="5" l="1"/>
  <c r="K123" i="5"/>
  <c r="E89" i="1"/>
  <c r="P70" i="2"/>
  <c r="D64" i="5" s="1"/>
  <c r="E64" i="5"/>
  <c r="M124" i="5" s="1"/>
  <c r="E71" i="2"/>
  <c r="I71" i="2" s="1"/>
  <c r="O71" i="2" s="1"/>
  <c r="L124" i="5" l="1"/>
  <c r="K124" i="5"/>
  <c r="E90" i="1"/>
  <c r="P71" i="2"/>
  <c r="D65" i="5" s="1"/>
  <c r="E65" i="5"/>
  <c r="M125" i="5" s="1"/>
  <c r="E72" i="2"/>
  <c r="I72" i="2" s="1"/>
  <c r="O72" i="2" s="1"/>
  <c r="L125" i="5" l="1"/>
  <c r="K125" i="5"/>
  <c r="E91" i="1"/>
  <c r="P72" i="2"/>
  <c r="D66" i="5" s="1"/>
  <c r="E66" i="5"/>
  <c r="M126" i="5" s="1"/>
  <c r="E73" i="2"/>
  <c r="I73" i="2" s="1"/>
  <c r="O73" i="2" s="1"/>
  <c r="L126" i="5" l="1"/>
  <c r="K126" i="5"/>
  <c r="E92" i="1"/>
  <c r="P73" i="2"/>
  <c r="D67" i="5" s="1"/>
  <c r="E67" i="5"/>
  <c r="M127" i="5" s="1"/>
  <c r="E74" i="2"/>
  <c r="I74" i="2" s="1"/>
  <c r="O74" i="2" s="1"/>
  <c r="L127" i="5" l="1"/>
  <c r="K127" i="5"/>
  <c r="E93" i="1"/>
  <c r="P74" i="2"/>
  <c r="D68" i="5" s="1"/>
  <c r="E68" i="5"/>
  <c r="M128" i="5" s="1"/>
  <c r="E75" i="2"/>
  <c r="I75" i="2" s="1"/>
  <c r="O75" i="2" s="1"/>
  <c r="K128" i="5" l="1"/>
  <c r="L128" i="5"/>
  <c r="E94" i="1"/>
  <c r="P75" i="2"/>
  <c r="D69" i="5" s="1"/>
  <c r="E69" i="5"/>
  <c r="M129" i="5" s="1"/>
  <c r="E76" i="2"/>
  <c r="I76" i="2" s="1"/>
  <c r="O76" i="2" s="1"/>
  <c r="L129" i="5" l="1"/>
  <c r="K129" i="5"/>
  <c r="E95" i="1"/>
  <c r="P76" i="2"/>
  <c r="D70" i="5" s="1"/>
  <c r="E70" i="5"/>
  <c r="M130" i="5" s="1"/>
  <c r="E77" i="2"/>
  <c r="I77" i="2" s="1"/>
  <c r="O77" i="2" s="1"/>
  <c r="L130" i="5" l="1"/>
  <c r="K130" i="5"/>
  <c r="E96" i="1"/>
  <c r="P77" i="2"/>
  <c r="D71" i="5" s="1"/>
  <c r="E71" i="5"/>
  <c r="M131" i="5" s="1"/>
  <c r="E78" i="2"/>
  <c r="I78" i="2" s="1"/>
  <c r="O78" i="2" s="1"/>
  <c r="L131" i="5" l="1"/>
  <c r="K131" i="5"/>
  <c r="E97" i="1"/>
  <c r="P78" i="2"/>
  <c r="D72" i="5" s="1"/>
  <c r="E72" i="5"/>
  <c r="M132" i="5" s="1"/>
  <c r="E79" i="2"/>
  <c r="I79" i="2" s="1"/>
  <c r="O79" i="2" s="1"/>
  <c r="L132" i="5" l="1"/>
  <c r="K132" i="5"/>
  <c r="E98" i="1"/>
  <c r="P79" i="2"/>
  <c r="D73" i="5" s="1"/>
  <c r="E73" i="5"/>
  <c r="M133" i="5" s="1"/>
  <c r="E80" i="2"/>
  <c r="I80" i="2" s="1"/>
  <c r="O80" i="2" s="1"/>
  <c r="L133" i="5" l="1"/>
  <c r="K133" i="5"/>
  <c r="E99" i="1"/>
  <c r="P80" i="2"/>
  <c r="D74" i="5" s="1"/>
  <c r="E74" i="5"/>
  <c r="M134" i="5" s="1"/>
  <c r="E81" i="2"/>
  <c r="I81" i="2" s="1"/>
  <c r="O81" i="2" s="1"/>
  <c r="L134" i="5" l="1"/>
  <c r="K134" i="5"/>
  <c r="E100" i="1"/>
  <c r="P81" i="2"/>
  <c r="D75" i="5" s="1"/>
  <c r="E75" i="5"/>
  <c r="M135" i="5" s="1"/>
  <c r="E82" i="2"/>
  <c r="I82" i="2" s="1"/>
  <c r="O82" i="2" s="1"/>
  <c r="L135" i="5" l="1"/>
  <c r="K135" i="5"/>
  <c r="E101" i="1"/>
  <c r="P82" i="2"/>
  <c r="D76" i="5" s="1"/>
  <c r="E76" i="5"/>
  <c r="M136" i="5" s="1"/>
  <c r="E83" i="2"/>
  <c r="I83" i="2" s="1"/>
  <c r="O83" i="2" s="1"/>
  <c r="K136" i="5" l="1"/>
  <c r="L136" i="5"/>
  <c r="E102" i="1"/>
  <c r="P83" i="2"/>
  <c r="D77" i="5" s="1"/>
  <c r="E77" i="5"/>
  <c r="M137" i="5" s="1"/>
  <c r="E84" i="2"/>
  <c r="I84" i="2" s="1"/>
  <c r="O84" i="2" s="1"/>
  <c r="L137" i="5" l="1"/>
  <c r="K137" i="5"/>
  <c r="E103" i="1"/>
  <c r="P84" i="2"/>
  <c r="D78" i="5" s="1"/>
  <c r="E78" i="5"/>
  <c r="M138" i="5" s="1"/>
  <c r="E85" i="2"/>
  <c r="I85" i="2" s="1"/>
  <c r="O85" i="2" s="1"/>
  <c r="K138" i="5" l="1"/>
  <c r="L138" i="5"/>
  <c r="E104" i="1"/>
  <c r="P85" i="2"/>
  <c r="D79" i="5" s="1"/>
  <c r="E79" i="5"/>
  <c r="M139" i="5" s="1"/>
  <c r="E86" i="2"/>
  <c r="I86" i="2" s="1"/>
  <c r="O86" i="2" s="1"/>
  <c r="L139" i="5" l="1"/>
  <c r="K139" i="5"/>
  <c r="E105" i="1"/>
  <c r="P86" i="2"/>
  <c r="D80" i="5" s="1"/>
  <c r="E80" i="5"/>
  <c r="M140" i="5" s="1"/>
  <c r="E87" i="2"/>
  <c r="I87" i="2" s="1"/>
  <c r="O87" i="2" s="1"/>
  <c r="L140" i="5" l="1"/>
  <c r="K140" i="5"/>
  <c r="E106" i="1"/>
  <c r="P87" i="2"/>
  <c r="D81" i="5" s="1"/>
  <c r="E81" i="5"/>
  <c r="M141" i="5" s="1"/>
  <c r="E88" i="2"/>
  <c r="I88" i="2" s="1"/>
  <c r="O88" i="2" s="1"/>
  <c r="L141" i="5" l="1"/>
  <c r="K141" i="5"/>
  <c r="E107" i="1"/>
  <c r="P88" i="2"/>
  <c r="D82" i="5" s="1"/>
  <c r="E82" i="5"/>
  <c r="M142" i="5" s="1"/>
  <c r="E89" i="2"/>
  <c r="I89" i="2" s="1"/>
  <c r="O89" i="2" s="1"/>
  <c r="L142" i="5" l="1"/>
  <c r="K142" i="5"/>
  <c r="E108" i="1"/>
  <c r="P89" i="2"/>
  <c r="D83" i="5" s="1"/>
  <c r="E83" i="5"/>
  <c r="M143" i="5" s="1"/>
  <c r="E90" i="2"/>
  <c r="I90" i="2" s="1"/>
  <c r="O90" i="2" s="1"/>
  <c r="L143" i="5" l="1"/>
  <c r="K143" i="5"/>
  <c r="E109" i="1"/>
  <c r="P90" i="2"/>
  <c r="D84" i="5" s="1"/>
  <c r="E84" i="5"/>
  <c r="M144" i="5" s="1"/>
  <c r="E91" i="2"/>
  <c r="I91" i="2" s="1"/>
  <c r="O91" i="2" s="1"/>
  <c r="K144" i="5" l="1"/>
  <c r="L144" i="5"/>
  <c r="E110" i="1"/>
  <c r="P91" i="2"/>
  <c r="D85" i="5" s="1"/>
  <c r="E85" i="5"/>
  <c r="M145" i="5" s="1"/>
  <c r="E92" i="2"/>
  <c r="I92" i="2" s="1"/>
  <c r="O92" i="2" s="1"/>
  <c r="L145" i="5" l="1"/>
  <c r="K145" i="5"/>
  <c r="E111" i="1"/>
  <c r="P92" i="2"/>
  <c r="D86" i="5" s="1"/>
  <c r="E86" i="5"/>
  <c r="M146" i="5" s="1"/>
  <c r="E93" i="2"/>
  <c r="I93" i="2" s="1"/>
  <c r="O93" i="2" s="1"/>
  <c r="K146" i="5" l="1"/>
  <c r="L146" i="5"/>
  <c r="E112" i="1"/>
  <c r="P93" i="2"/>
  <c r="D87" i="5" s="1"/>
  <c r="E87" i="5"/>
  <c r="M147" i="5" s="1"/>
  <c r="E94" i="2"/>
  <c r="I94" i="2" s="1"/>
  <c r="O94" i="2" s="1"/>
  <c r="L147" i="5" l="1"/>
  <c r="K147" i="5"/>
  <c r="E113" i="1"/>
  <c r="P94" i="2"/>
  <c r="D88" i="5" s="1"/>
  <c r="E88" i="5"/>
  <c r="M148" i="5" s="1"/>
  <c r="E95" i="2"/>
  <c r="I95" i="2" s="1"/>
  <c r="O95" i="2" s="1"/>
  <c r="L148" i="5" l="1"/>
  <c r="K148" i="5"/>
  <c r="E114" i="1"/>
  <c r="P95" i="2"/>
  <c r="D89" i="5" s="1"/>
  <c r="E89" i="5"/>
  <c r="M149" i="5" s="1"/>
  <c r="E96" i="2"/>
  <c r="I96" i="2" s="1"/>
  <c r="O96" i="2" s="1"/>
  <c r="K149" i="5" l="1"/>
  <c r="L149" i="5"/>
  <c r="E115" i="1"/>
  <c r="P96" i="2"/>
  <c r="D90" i="5" s="1"/>
  <c r="E90" i="5"/>
  <c r="M150" i="5" s="1"/>
  <c r="E97" i="2"/>
  <c r="I97" i="2" s="1"/>
  <c r="O97" i="2" s="1"/>
  <c r="L150" i="5" l="1"/>
  <c r="K150" i="5"/>
  <c r="E116" i="1"/>
  <c r="P97" i="2"/>
  <c r="D91" i="5" s="1"/>
  <c r="E91" i="5"/>
  <c r="M151" i="5" s="1"/>
  <c r="E98" i="2"/>
  <c r="I98" i="2" s="1"/>
  <c r="O98" i="2" s="1"/>
  <c r="L151" i="5" l="1"/>
  <c r="K151" i="5"/>
  <c r="E117" i="1"/>
  <c r="P98" i="2"/>
  <c r="D92" i="5" s="1"/>
  <c r="E92" i="5"/>
  <c r="M152" i="5" s="1"/>
  <c r="E99" i="2"/>
  <c r="I99" i="2" s="1"/>
  <c r="O99" i="2" s="1"/>
  <c r="L152" i="5" l="1"/>
  <c r="K152" i="5"/>
  <c r="E118" i="1"/>
  <c r="P99" i="2"/>
  <c r="D93" i="5" s="1"/>
  <c r="E93" i="5"/>
  <c r="M153" i="5" s="1"/>
  <c r="E100" i="2"/>
  <c r="I100" i="2" s="1"/>
  <c r="O100" i="2" s="1"/>
  <c r="L153" i="5" l="1"/>
  <c r="K153" i="5"/>
  <c r="E119" i="1"/>
  <c r="P100" i="2"/>
  <c r="D94" i="5" s="1"/>
  <c r="E94" i="5"/>
  <c r="M154" i="5" s="1"/>
  <c r="E101" i="2"/>
  <c r="I101" i="2" s="1"/>
  <c r="O101" i="2" s="1"/>
  <c r="K154" i="5" l="1"/>
  <c r="L154" i="5"/>
  <c r="E120" i="1"/>
  <c r="P101" i="2"/>
  <c r="D95" i="5" s="1"/>
  <c r="E95" i="5"/>
  <c r="M155" i="5" s="1"/>
  <c r="E102" i="2"/>
  <c r="I102" i="2" s="1"/>
  <c r="O102" i="2" s="1"/>
  <c r="L155" i="5" l="1"/>
  <c r="K155" i="5"/>
  <c r="E121" i="1"/>
  <c r="P102" i="2"/>
  <c r="D96" i="5" s="1"/>
  <c r="E96" i="5"/>
  <c r="M156" i="5" s="1"/>
  <c r="E103" i="2"/>
  <c r="I103" i="2" s="1"/>
  <c r="O103" i="2" s="1"/>
  <c r="L156" i="5" l="1"/>
  <c r="K156" i="5"/>
  <c r="E122" i="1"/>
  <c r="P103" i="2"/>
  <c r="D97" i="5" s="1"/>
  <c r="E97" i="5"/>
  <c r="M157" i="5" s="1"/>
  <c r="E104" i="2"/>
  <c r="I104" i="2" s="1"/>
  <c r="O104" i="2" s="1"/>
  <c r="L157" i="5" l="1"/>
  <c r="K157" i="5"/>
  <c r="E123" i="1"/>
  <c r="P104" i="2"/>
  <c r="D98" i="5" s="1"/>
  <c r="E98" i="5"/>
  <c r="M158" i="5" s="1"/>
  <c r="E105" i="2"/>
  <c r="I105" i="2" s="1"/>
  <c r="O105" i="2" s="1"/>
  <c r="L158" i="5" l="1"/>
  <c r="K158" i="5"/>
  <c r="E124" i="1"/>
  <c r="P105" i="2"/>
  <c r="D99" i="5" s="1"/>
  <c r="E99" i="5"/>
  <c r="M159" i="5" s="1"/>
  <c r="E106" i="2"/>
  <c r="I106" i="2" s="1"/>
  <c r="O106" i="2" s="1"/>
  <c r="L159" i="5" l="1"/>
  <c r="K159" i="5"/>
  <c r="E125" i="1"/>
  <c r="P106" i="2"/>
  <c r="D100" i="5" s="1"/>
  <c r="E100" i="5"/>
  <c r="M160" i="5" s="1"/>
  <c r="E107" i="2"/>
  <c r="I107" i="2" s="1"/>
  <c r="O107" i="2" s="1"/>
  <c r="L160" i="5" l="1"/>
  <c r="K160" i="5"/>
  <c r="E126" i="1"/>
  <c r="P107" i="2"/>
  <c r="D101" i="5" s="1"/>
  <c r="E101" i="5"/>
  <c r="M161" i="5" s="1"/>
  <c r="E108" i="2"/>
  <c r="I108" i="2" s="1"/>
  <c r="O108" i="2" s="1"/>
  <c r="L161" i="5" l="1"/>
  <c r="K161" i="5"/>
  <c r="E127" i="1"/>
  <c r="P108" i="2"/>
  <c r="D102" i="5" s="1"/>
  <c r="E102" i="5"/>
  <c r="M162" i="5" s="1"/>
  <c r="E109" i="2"/>
  <c r="I109" i="2" s="1"/>
  <c r="O109" i="2" s="1"/>
  <c r="L162" i="5" l="1"/>
  <c r="K162" i="5"/>
  <c r="E128" i="1"/>
  <c r="P109" i="2"/>
  <c r="D103" i="5" s="1"/>
  <c r="E103" i="5"/>
  <c r="M163" i="5" s="1"/>
  <c r="E110" i="2"/>
  <c r="I110" i="2" s="1"/>
  <c r="O110" i="2" s="1"/>
  <c r="L163" i="5" l="1"/>
  <c r="K163" i="5"/>
  <c r="E129" i="1"/>
  <c r="P110" i="2"/>
  <c r="D104" i="5" s="1"/>
  <c r="E104" i="5"/>
  <c r="M164" i="5" s="1"/>
  <c r="E111" i="2"/>
  <c r="I111" i="2" s="1"/>
  <c r="O111" i="2" s="1"/>
  <c r="L164" i="5" l="1"/>
  <c r="K164" i="5"/>
  <c r="E130" i="1"/>
  <c r="P111" i="2"/>
  <c r="D105" i="5" s="1"/>
  <c r="E105" i="5"/>
  <c r="M165" i="5" s="1"/>
  <c r="E112" i="2"/>
  <c r="I112" i="2" s="1"/>
  <c r="O112" i="2" s="1"/>
  <c r="K165" i="5" l="1"/>
  <c r="L165" i="5"/>
  <c r="E131" i="1"/>
  <c r="P112" i="2"/>
  <c r="D106" i="5" s="1"/>
  <c r="E106" i="5"/>
  <c r="M166" i="5" s="1"/>
  <c r="E113" i="2"/>
  <c r="I113" i="2" s="1"/>
  <c r="O113" i="2" s="1"/>
  <c r="L166" i="5" l="1"/>
  <c r="K166" i="5"/>
  <c r="E132" i="1"/>
  <c r="P113" i="2"/>
  <c r="D107" i="5" s="1"/>
  <c r="E107" i="5"/>
  <c r="M167" i="5" s="1"/>
  <c r="E114" i="2"/>
  <c r="I114" i="2" s="1"/>
  <c r="O114" i="2" s="1"/>
  <c r="L167" i="5" l="1"/>
  <c r="K167" i="5"/>
  <c r="E133" i="1"/>
  <c r="P114" i="2"/>
  <c r="D108" i="5" s="1"/>
  <c r="E108" i="5"/>
  <c r="M168" i="5" s="1"/>
  <c r="E115" i="2"/>
  <c r="I115" i="2" s="1"/>
  <c r="O115" i="2" s="1"/>
  <c r="K168" i="5" l="1"/>
  <c r="L168" i="5"/>
  <c r="E134" i="1"/>
  <c r="P115" i="2"/>
  <c r="D109" i="5" s="1"/>
  <c r="E109" i="5"/>
  <c r="M169" i="5" s="1"/>
  <c r="E116" i="2"/>
  <c r="I116" i="2" s="1"/>
  <c r="O116" i="2" s="1"/>
  <c r="L169" i="5" l="1"/>
  <c r="K169" i="5"/>
  <c r="E135" i="1"/>
  <c r="P116" i="2"/>
  <c r="D110" i="5" s="1"/>
  <c r="E110" i="5"/>
  <c r="M170" i="5" s="1"/>
  <c r="E117" i="2"/>
  <c r="I117" i="2" s="1"/>
  <c r="O117" i="2" s="1"/>
  <c r="K170" i="5" l="1"/>
  <c r="L170" i="5"/>
  <c r="E136" i="1"/>
  <c r="P117" i="2"/>
  <c r="D111" i="5" s="1"/>
  <c r="E111" i="5"/>
  <c r="M171" i="5" s="1"/>
  <c r="E118" i="2"/>
  <c r="I118" i="2" s="1"/>
  <c r="O118" i="2" s="1"/>
  <c r="L171" i="5" l="1"/>
  <c r="K171" i="5"/>
  <c r="E137" i="1"/>
  <c r="P118" i="2"/>
  <c r="D112" i="5" s="1"/>
  <c r="E112" i="5"/>
  <c r="M172" i="5" s="1"/>
  <c r="E119" i="2"/>
  <c r="I119" i="2" s="1"/>
  <c r="O119" i="2" s="1"/>
  <c r="L172" i="5" l="1"/>
  <c r="K172" i="5"/>
  <c r="E138" i="1"/>
  <c r="P119" i="2"/>
  <c r="D113" i="5" s="1"/>
  <c r="E113" i="5"/>
  <c r="M173" i="5" s="1"/>
  <c r="E120" i="2"/>
  <c r="I120" i="2" s="1"/>
  <c r="O120" i="2" s="1"/>
  <c r="L173" i="5" l="1"/>
  <c r="K173" i="5"/>
  <c r="E139" i="1"/>
  <c r="P120" i="2"/>
  <c r="D114" i="5" s="1"/>
  <c r="E114" i="5"/>
  <c r="M174" i="5" s="1"/>
  <c r="E121" i="2"/>
  <c r="I121" i="2" s="1"/>
  <c r="O121" i="2" s="1"/>
  <c r="L174" i="5" l="1"/>
  <c r="K174" i="5"/>
  <c r="E140" i="1"/>
  <c r="P121" i="2"/>
  <c r="D115" i="5" s="1"/>
  <c r="E115" i="5"/>
  <c r="M175" i="5" s="1"/>
  <c r="E122" i="2"/>
  <c r="I122" i="2" s="1"/>
  <c r="O122" i="2" s="1"/>
  <c r="L175" i="5" l="1"/>
  <c r="K175" i="5"/>
  <c r="E141" i="1"/>
  <c r="P122" i="2"/>
  <c r="D116" i="5" s="1"/>
  <c r="E116" i="5"/>
  <c r="M176" i="5" s="1"/>
  <c r="E123" i="2"/>
  <c r="I123" i="2" s="1"/>
  <c r="O123" i="2" s="1"/>
  <c r="L176" i="5" l="1"/>
  <c r="K176" i="5"/>
  <c r="E142" i="1"/>
  <c r="P123" i="2"/>
  <c r="D117" i="5" s="1"/>
  <c r="E117" i="5"/>
  <c r="M177" i="5" s="1"/>
  <c r="E124" i="2"/>
  <c r="I124" i="2" s="1"/>
  <c r="O124" i="2" s="1"/>
  <c r="L177" i="5" l="1"/>
  <c r="K177" i="5"/>
  <c r="E143" i="1"/>
  <c r="P124" i="2"/>
  <c r="D118" i="5" s="1"/>
  <c r="E118" i="5"/>
  <c r="M178" i="5" s="1"/>
  <c r="E125" i="2"/>
  <c r="I125" i="2" s="1"/>
  <c r="O125" i="2" s="1"/>
  <c r="L178" i="5" l="1"/>
  <c r="K178" i="5"/>
  <c r="E144" i="1"/>
  <c r="P125" i="2"/>
  <c r="D119" i="5" s="1"/>
  <c r="E119" i="5"/>
  <c r="M179" i="5" s="1"/>
  <c r="E126" i="2"/>
  <c r="I126" i="2" s="1"/>
  <c r="O126" i="2" s="1"/>
  <c r="L179" i="5" l="1"/>
  <c r="K179" i="5"/>
  <c r="E145" i="1"/>
  <c r="P126" i="2"/>
  <c r="D120" i="5" s="1"/>
  <c r="E120" i="5"/>
  <c r="M180" i="5" s="1"/>
  <c r="E127" i="2"/>
  <c r="I127" i="2" s="1"/>
  <c r="O127" i="2" s="1"/>
  <c r="L180" i="5" l="1"/>
  <c r="K180" i="5"/>
  <c r="E146" i="1"/>
  <c r="P127" i="2"/>
  <c r="D121" i="5" s="1"/>
  <c r="E121" i="5"/>
  <c r="M181" i="5" s="1"/>
  <c r="E128" i="2"/>
  <c r="I128" i="2" s="1"/>
  <c r="O128" i="2" s="1"/>
  <c r="K181" i="5" l="1"/>
  <c r="L181" i="5"/>
  <c r="E147" i="1"/>
  <c r="P128" i="2"/>
  <c r="D122" i="5" s="1"/>
  <c r="M65" i="8" s="1"/>
  <c r="P65" i="8" s="1"/>
  <c r="E122" i="5"/>
  <c r="M182" i="5" s="1"/>
  <c r="E129" i="2"/>
  <c r="I129" i="2" s="1"/>
  <c r="O129" i="2" s="1"/>
  <c r="L182" i="5" l="1"/>
  <c r="K182" i="5"/>
  <c r="E148" i="1"/>
  <c r="P129" i="2"/>
  <c r="D123" i="5" s="1"/>
  <c r="E123" i="5"/>
  <c r="M183" i="5" s="1"/>
  <c r="E130" i="2"/>
  <c r="I130" i="2" s="1"/>
  <c r="O130" i="2" s="1"/>
  <c r="L183" i="5" l="1"/>
  <c r="K183" i="5"/>
  <c r="E149" i="1"/>
  <c r="P130" i="2"/>
  <c r="D124" i="5" s="1"/>
  <c r="E124" i="5"/>
  <c r="M184" i="5" s="1"/>
  <c r="E131" i="2"/>
  <c r="I131" i="2" s="1"/>
  <c r="O131" i="2" s="1"/>
  <c r="K184" i="5" l="1"/>
  <c r="L184" i="5"/>
  <c r="E150" i="1"/>
  <c r="P131" i="2"/>
  <c r="D125" i="5" s="1"/>
  <c r="E125" i="5"/>
  <c r="M185" i="5" s="1"/>
  <c r="E132" i="2"/>
  <c r="I132" i="2" s="1"/>
  <c r="O132" i="2" s="1"/>
  <c r="L185" i="5" l="1"/>
  <c r="K185" i="5"/>
  <c r="E151" i="1"/>
  <c r="P132" i="2"/>
  <c r="D126" i="5" s="1"/>
  <c r="E126" i="5"/>
  <c r="M186" i="5" s="1"/>
  <c r="E133" i="2"/>
  <c r="I133" i="2" s="1"/>
  <c r="O133" i="2" s="1"/>
  <c r="K186" i="5" l="1"/>
  <c r="L186" i="5"/>
  <c r="E152" i="1"/>
  <c r="P133" i="2"/>
  <c r="D127" i="5" s="1"/>
  <c r="E127" i="5"/>
  <c r="M187" i="5" s="1"/>
  <c r="E134" i="2"/>
  <c r="I134" i="2" s="1"/>
  <c r="O134" i="2" s="1"/>
  <c r="L187" i="5" l="1"/>
  <c r="K187" i="5"/>
  <c r="E153" i="1"/>
  <c r="P134" i="2"/>
  <c r="D128" i="5" s="1"/>
  <c r="E128" i="5"/>
  <c r="M188" i="5" s="1"/>
  <c r="E135" i="2"/>
  <c r="I135" i="2" s="1"/>
  <c r="O135" i="2" s="1"/>
  <c r="L188" i="5" l="1"/>
  <c r="K188" i="5"/>
  <c r="E154" i="1"/>
  <c r="P135" i="2"/>
  <c r="D129" i="5" s="1"/>
  <c r="E129" i="5"/>
  <c r="M189" i="5" s="1"/>
  <c r="E136" i="2"/>
  <c r="I136" i="2" s="1"/>
  <c r="O136" i="2" s="1"/>
  <c r="L189" i="5" l="1"/>
  <c r="K189" i="5"/>
  <c r="E155" i="1"/>
  <c r="P136" i="2"/>
  <c r="D130" i="5" s="1"/>
  <c r="E130" i="5"/>
  <c r="M190" i="5" s="1"/>
  <c r="E137" i="2"/>
  <c r="I137" i="2" s="1"/>
  <c r="O137" i="2" s="1"/>
  <c r="L190" i="5" l="1"/>
  <c r="K190" i="5"/>
  <c r="E156" i="1"/>
  <c r="P137" i="2"/>
  <c r="D131" i="5" s="1"/>
  <c r="E131" i="5"/>
  <c r="M191" i="5" s="1"/>
  <c r="E138" i="2"/>
  <c r="I138" i="2" s="1"/>
  <c r="O138" i="2" s="1"/>
  <c r="L191" i="5" l="1"/>
  <c r="K191" i="5"/>
  <c r="E157" i="1"/>
  <c r="P138" i="2"/>
  <c r="D132" i="5" s="1"/>
  <c r="E132" i="5"/>
  <c r="M192" i="5" s="1"/>
  <c r="E139" i="2"/>
  <c r="I139" i="2" s="1"/>
  <c r="O139" i="2" s="1"/>
  <c r="L192" i="5" l="1"/>
  <c r="K192" i="5"/>
  <c r="E158" i="1"/>
  <c r="P139" i="2"/>
  <c r="D133" i="5" s="1"/>
  <c r="E133" i="5"/>
  <c r="M193" i="5" s="1"/>
  <c r="E140" i="2"/>
  <c r="I140" i="2" s="1"/>
  <c r="O140" i="2" s="1"/>
  <c r="L193" i="5" l="1"/>
  <c r="K193" i="5"/>
  <c r="E159" i="1"/>
  <c r="P140" i="2"/>
  <c r="D134" i="5" s="1"/>
  <c r="E134" i="5"/>
  <c r="M194" i="5" s="1"/>
  <c r="E141" i="2"/>
  <c r="I141" i="2" s="1"/>
  <c r="O141" i="2" s="1"/>
  <c r="L194" i="5" l="1"/>
  <c r="K194" i="5"/>
  <c r="E160" i="1"/>
  <c r="P141" i="2"/>
  <c r="D135" i="5" s="1"/>
  <c r="E135" i="5"/>
  <c r="M195" i="5" s="1"/>
  <c r="E142" i="2"/>
  <c r="I142" i="2" s="1"/>
  <c r="O142" i="2" s="1"/>
  <c r="L195" i="5" l="1"/>
  <c r="K195" i="5"/>
  <c r="E161" i="1"/>
  <c r="P142" i="2"/>
  <c r="D136" i="5" s="1"/>
  <c r="E136" i="5"/>
  <c r="M196" i="5" s="1"/>
  <c r="E143" i="2"/>
  <c r="I143" i="2" s="1"/>
  <c r="O143" i="2" s="1"/>
  <c r="L196" i="5" l="1"/>
  <c r="K196" i="5"/>
  <c r="E162" i="1"/>
  <c r="P143" i="2"/>
  <c r="D137" i="5" s="1"/>
  <c r="E137" i="5"/>
  <c r="M197" i="5" s="1"/>
  <c r="E144" i="2"/>
  <c r="I144" i="2" s="1"/>
  <c r="O144" i="2" s="1"/>
  <c r="L197" i="5" l="1"/>
  <c r="K197" i="5"/>
  <c r="E163" i="1"/>
  <c r="P144" i="2"/>
  <c r="D138" i="5" s="1"/>
  <c r="E138" i="5"/>
  <c r="M198" i="5" s="1"/>
  <c r="E145" i="2"/>
  <c r="I145" i="2" s="1"/>
  <c r="O145" i="2" s="1"/>
  <c r="L198" i="5" l="1"/>
  <c r="K198" i="5"/>
  <c r="E164" i="1"/>
  <c r="P145" i="2"/>
  <c r="D139" i="5" s="1"/>
  <c r="E139" i="5"/>
  <c r="M199" i="5" s="1"/>
  <c r="E146" i="2"/>
  <c r="I146" i="2" s="1"/>
  <c r="O146" i="2" s="1"/>
  <c r="L199" i="5" l="1"/>
  <c r="K199" i="5"/>
  <c r="E165" i="1"/>
  <c r="P146" i="2"/>
  <c r="D140" i="5" s="1"/>
  <c r="E140" i="5"/>
  <c r="M200" i="5" s="1"/>
  <c r="E147" i="2"/>
  <c r="I147" i="2" s="1"/>
  <c r="O147" i="2" s="1"/>
  <c r="K200" i="5" l="1"/>
  <c r="L200" i="5"/>
  <c r="E166" i="1"/>
  <c r="P147" i="2"/>
  <c r="D141" i="5" s="1"/>
  <c r="E141" i="5"/>
  <c r="M201" i="5" s="1"/>
  <c r="E148" i="2"/>
  <c r="I148" i="2" s="1"/>
  <c r="O148" i="2" s="1"/>
  <c r="L201" i="5" l="1"/>
  <c r="K201" i="5"/>
  <c r="E167" i="1"/>
  <c r="P148" i="2"/>
  <c r="D142" i="5" s="1"/>
  <c r="E142" i="5"/>
  <c r="M202" i="5" s="1"/>
  <c r="E149" i="2"/>
  <c r="I149" i="2" s="1"/>
  <c r="O149" i="2" s="1"/>
  <c r="K202" i="5" l="1"/>
  <c r="L202" i="5"/>
  <c r="E168" i="1"/>
  <c r="P149" i="2"/>
  <c r="D143" i="5" s="1"/>
  <c r="E143" i="5"/>
  <c r="M203" i="5" s="1"/>
  <c r="E150" i="2"/>
  <c r="I150" i="2" s="1"/>
  <c r="O150" i="2" s="1"/>
  <c r="L203" i="5" l="1"/>
  <c r="K203" i="5"/>
  <c r="E169" i="1"/>
  <c r="P150" i="2"/>
  <c r="D144" i="5" s="1"/>
  <c r="E144" i="5"/>
  <c r="M204" i="5" s="1"/>
  <c r="E151" i="2"/>
  <c r="I151" i="2" s="1"/>
  <c r="O151" i="2" s="1"/>
  <c r="L204" i="5" l="1"/>
  <c r="K204" i="5"/>
  <c r="E170" i="1"/>
  <c r="P151" i="2"/>
  <c r="D145" i="5" s="1"/>
  <c r="E145" i="5"/>
  <c r="M205" i="5" s="1"/>
  <c r="E152" i="2"/>
  <c r="I152" i="2" s="1"/>
  <c r="O152" i="2" s="1"/>
  <c r="L205" i="5" l="1"/>
  <c r="K205" i="5"/>
  <c r="E171" i="1"/>
  <c r="P152" i="2"/>
  <c r="D146" i="5" s="1"/>
  <c r="E146" i="5"/>
  <c r="M206" i="5" s="1"/>
  <c r="E153" i="2"/>
  <c r="I153" i="2" s="1"/>
  <c r="O153" i="2" s="1"/>
  <c r="L206" i="5" l="1"/>
  <c r="K206" i="5"/>
  <c r="E172" i="1"/>
  <c r="P153" i="2"/>
  <c r="D147" i="5" s="1"/>
  <c r="E147" i="5"/>
  <c r="M207" i="5" s="1"/>
  <c r="E154" i="2"/>
  <c r="I154" i="2" s="1"/>
  <c r="O154" i="2" s="1"/>
  <c r="L207" i="5" l="1"/>
  <c r="K207" i="5"/>
  <c r="E173" i="1"/>
  <c r="P154" i="2"/>
  <c r="D148" i="5" s="1"/>
  <c r="E148" i="5"/>
  <c r="M208" i="5" s="1"/>
  <c r="E155" i="2"/>
  <c r="I155" i="2" s="1"/>
  <c r="O155" i="2" s="1"/>
  <c r="K208" i="5" l="1"/>
  <c r="L208" i="5"/>
  <c r="E174" i="1"/>
  <c r="P155" i="2"/>
  <c r="D149" i="5" s="1"/>
  <c r="E149" i="5"/>
  <c r="M209" i="5" s="1"/>
  <c r="E156" i="2"/>
  <c r="I156" i="2" s="1"/>
  <c r="O156" i="2" s="1"/>
  <c r="L209" i="5" l="1"/>
  <c r="K209" i="5"/>
  <c r="E175" i="1"/>
  <c r="P156" i="2"/>
  <c r="D150" i="5" s="1"/>
  <c r="E150" i="5"/>
  <c r="M210" i="5" s="1"/>
  <c r="E157" i="2"/>
  <c r="I157" i="2" s="1"/>
  <c r="O157" i="2" s="1"/>
  <c r="K210" i="5" l="1"/>
  <c r="L210" i="5"/>
  <c r="E176" i="1"/>
  <c r="P157" i="2"/>
  <c r="D151" i="5" s="1"/>
  <c r="E151" i="5"/>
  <c r="M211" i="5" s="1"/>
  <c r="E158" i="2"/>
  <c r="I158" i="2" s="1"/>
  <c r="O158" i="2" s="1"/>
  <c r="K211" i="5" l="1"/>
  <c r="L211" i="5"/>
  <c r="E177" i="1"/>
  <c r="P158" i="2"/>
  <c r="D152" i="5" s="1"/>
  <c r="E152" i="5"/>
  <c r="M212" i="5" s="1"/>
  <c r="E159" i="2"/>
  <c r="I159" i="2" s="1"/>
  <c r="O159" i="2" s="1"/>
  <c r="L212" i="5" l="1"/>
  <c r="K212" i="5"/>
  <c r="E178" i="1"/>
  <c r="P159" i="2"/>
  <c r="D153" i="5" s="1"/>
  <c r="E153" i="5"/>
  <c r="M213" i="5" s="1"/>
  <c r="E160" i="2"/>
  <c r="I160" i="2" s="1"/>
  <c r="O160" i="2" s="1"/>
  <c r="K213" i="5" l="1"/>
  <c r="L213" i="5"/>
  <c r="E179" i="1"/>
  <c r="P160" i="2"/>
  <c r="D154" i="5" s="1"/>
  <c r="E154" i="5"/>
  <c r="M214" i="5" s="1"/>
  <c r="E161" i="2"/>
  <c r="I161" i="2" s="1"/>
  <c r="O161" i="2" s="1"/>
  <c r="L214" i="5" l="1"/>
  <c r="K214" i="5"/>
  <c r="E180" i="1"/>
  <c r="P161" i="2"/>
  <c r="D155" i="5" s="1"/>
  <c r="E155" i="5"/>
  <c r="M215" i="5" s="1"/>
  <c r="E162" i="2"/>
  <c r="I162" i="2" s="1"/>
  <c r="O162" i="2" s="1"/>
  <c r="L215" i="5" l="1"/>
  <c r="K215" i="5"/>
  <c r="E181" i="1"/>
  <c r="P162" i="2"/>
  <c r="D156" i="5" s="1"/>
  <c r="E156" i="5"/>
  <c r="M216" i="5" s="1"/>
  <c r="E163" i="2"/>
  <c r="I163" i="2" s="1"/>
  <c r="O163" i="2" s="1"/>
  <c r="L216" i="5" l="1"/>
  <c r="K216" i="5"/>
  <c r="E182" i="1"/>
  <c r="P163" i="2"/>
  <c r="D157" i="5" s="1"/>
  <c r="E157" i="5"/>
  <c r="M217" i="5" s="1"/>
  <c r="E164" i="2"/>
  <c r="I164" i="2" s="1"/>
  <c r="O164" i="2" s="1"/>
  <c r="L217" i="5" l="1"/>
  <c r="K217" i="5"/>
  <c r="E183" i="1"/>
  <c r="P164" i="2"/>
  <c r="D158" i="5" s="1"/>
  <c r="E158" i="5"/>
  <c r="M218" i="5" s="1"/>
  <c r="E165" i="2"/>
  <c r="I165" i="2" s="1"/>
  <c r="O165" i="2" s="1"/>
  <c r="K218" i="5" l="1"/>
  <c r="L218" i="5"/>
  <c r="E184" i="1"/>
  <c r="P165" i="2"/>
  <c r="D159" i="5" s="1"/>
  <c r="E159" i="5"/>
  <c r="M219" i="5" s="1"/>
  <c r="E166" i="2"/>
  <c r="I166" i="2" s="1"/>
  <c r="O166" i="2" s="1"/>
  <c r="L219" i="5" l="1"/>
  <c r="K219" i="5"/>
  <c r="E185" i="1"/>
  <c r="P166" i="2"/>
  <c r="D160" i="5" s="1"/>
  <c r="E160" i="5"/>
  <c r="M220" i="5" s="1"/>
  <c r="E167" i="2"/>
  <c r="I167" i="2" s="1"/>
  <c r="O167" i="2" s="1"/>
  <c r="L220" i="5" l="1"/>
  <c r="K220" i="5"/>
  <c r="E186" i="1"/>
  <c r="P167" i="2"/>
  <c r="D161" i="5" s="1"/>
  <c r="E161" i="5"/>
  <c r="M221" i="5" s="1"/>
  <c r="E168" i="2"/>
  <c r="I168" i="2" s="1"/>
  <c r="O168" i="2" s="1"/>
  <c r="L221" i="5" l="1"/>
  <c r="K221" i="5"/>
  <c r="E187" i="1"/>
  <c r="P168" i="2"/>
  <c r="D162" i="5" s="1"/>
  <c r="E162" i="5"/>
  <c r="M222" i="5" s="1"/>
  <c r="E169" i="2"/>
  <c r="I169" i="2" s="1"/>
  <c r="O169" i="2" s="1"/>
  <c r="L222" i="5" l="1"/>
  <c r="K222" i="5"/>
  <c r="E188" i="1"/>
  <c r="P169" i="2"/>
  <c r="D163" i="5" s="1"/>
  <c r="E163" i="5"/>
  <c r="M223" i="5" s="1"/>
  <c r="E170" i="2"/>
  <c r="I170" i="2" s="1"/>
  <c r="O170" i="2" s="1"/>
  <c r="L223" i="5" l="1"/>
  <c r="K223" i="5"/>
  <c r="E189" i="1"/>
  <c r="P170" i="2"/>
  <c r="D164" i="5" s="1"/>
  <c r="E164" i="5"/>
  <c r="M224" i="5" s="1"/>
  <c r="E171" i="2"/>
  <c r="I171" i="2" s="1"/>
  <c r="O171" i="2" s="1"/>
  <c r="L224" i="5" l="1"/>
  <c r="K224" i="5"/>
  <c r="E190" i="1"/>
  <c r="P171" i="2"/>
  <c r="D165" i="5" s="1"/>
  <c r="E165" i="5"/>
  <c r="M225" i="5" s="1"/>
  <c r="E172" i="2"/>
  <c r="I172" i="2" s="1"/>
  <c r="O172" i="2" s="1"/>
  <c r="L225" i="5" l="1"/>
  <c r="K225" i="5"/>
  <c r="E191" i="1"/>
  <c r="P172" i="2"/>
  <c r="D166" i="5" s="1"/>
  <c r="E166" i="5"/>
  <c r="M226" i="5" s="1"/>
  <c r="E173" i="2"/>
  <c r="I173" i="2" s="1"/>
  <c r="O173" i="2" s="1"/>
  <c r="L226" i="5" l="1"/>
  <c r="K226" i="5"/>
  <c r="E192" i="1"/>
  <c r="P173" i="2"/>
  <c r="D167" i="5" s="1"/>
  <c r="E167" i="5"/>
  <c r="M227" i="5" s="1"/>
  <c r="E174" i="2"/>
  <c r="I174" i="2" s="1"/>
  <c r="O174" i="2" s="1"/>
  <c r="K227" i="5" l="1"/>
  <c r="L227" i="5"/>
  <c r="E193" i="1"/>
  <c r="P174" i="2"/>
  <c r="D168" i="5" s="1"/>
  <c r="E168" i="5"/>
  <c r="M228" i="5" s="1"/>
  <c r="E175" i="2"/>
  <c r="I175" i="2" s="1"/>
  <c r="O175" i="2" s="1"/>
  <c r="L228" i="5" l="1"/>
  <c r="K228" i="5"/>
  <c r="E194" i="1"/>
  <c r="P175" i="2"/>
  <c r="D169" i="5" s="1"/>
  <c r="E169" i="5"/>
  <c r="M229" i="5" s="1"/>
  <c r="E176" i="2"/>
  <c r="I176" i="2" s="1"/>
  <c r="O176" i="2" s="1"/>
  <c r="K229" i="5" l="1"/>
  <c r="L229" i="5"/>
  <c r="E195" i="1"/>
  <c r="P176" i="2"/>
  <c r="D170" i="5" s="1"/>
  <c r="E170" i="5"/>
  <c r="M230" i="5" s="1"/>
  <c r="E177" i="2"/>
  <c r="I177" i="2" s="1"/>
  <c r="O177" i="2" s="1"/>
  <c r="K230" i="5" l="1"/>
  <c r="L230" i="5"/>
  <c r="E196" i="1"/>
  <c r="P177" i="2"/>
  <c r="D171" i="5" s="1"/>
  <c r="E171" i="5"/>
  <c r="M231" i="5" s="1"/>
  <c r="E178" i="2"/>
  <c r="I178" i="2" s="1"/>
  <c r="O178" i="2" s="1"/>
  <c r="L231" i="5" l="1"/>
  <c r="K231" i="5"/>
  <c r="E197" i="1"/>
  <c r="P178" i="2"/>
  <c r="D172" i="5" s="1"/>
  <c r="E172" i="5"/>
  <c r="M232" i="5" s="1"/>
  <c r="E179" i="2"/>
  <c r="I179" i="2" s="1"/>
  <c r="O179" i="2" s="1"/>
  <c r="K232" i="5" l="1"/>
  <c r="L232" i="5"/>
  <c r="E198" i="1"/>
  <c r="P179" i="2"/>
  <c r="D173" i="5" s="1"/>
  <c r="E173" i="5"/>
  <c r="M233" i="5" s="1"/>
  <c r="E180" i="2"/>
  <c r="I180" i="2" s="1"/>
  <c r="O180" i="2" s="1"/>
  <c r="L233" i="5" l="1"/>
  <c r="K233" i="5"/>
  <c r="E199" i="1"/>
  <c r="P180" i="2"/>
  <c r="D174" i="5" s="1"/>
  <c r="E174" i="5"/>
  <c r="M234" i="5" s="1"/>
  <c r="E181" i="2"/>
  <c r="I181" i="2" s="1"/>
  <c r="O181" i="2" s="1"/>
  <c r="L234" i="5" l="1"/>
  <c r="K234" i="5"/>
  <c r="E200" i="1"/>
  <c r="P181" i="2"/>
  <c r="D175" i="5" s="1"/>
  <c r="E175" i="5"/>
  <c r="M235" i="5" s="1"/>
  <c r="E182" i="2"/>
  <c r="I182" i="2" s="1"/>
  <c r="O182" i="2" s="1"/>
  <c r="L235" i="5" l="1"/>
  <c r="K235" i="5"/>
  <c r="E201" i="1"/>
  <c r="P182" i="2"/>
  <c r="D176" i="5" s="1"/>
  <c r="E176" i="5"/>
  <c r="M236" i="5" s="1"/>
  <c r="E183" i="2"/>
  <c r="I183" i="2" s="1"/>
  <c r="O183" i="2" s="1"/>
  <c r="L236" i="5" l="1"/>
  <c r="K236" i="5"/>
  <c r="E202" i="1"/>
  <c r="P183" i="2"/>
  <c r="D177" i="5" s="1"/>
  <c r="E177" i="5"/>
  <c r="M237" i="5" s="1"/>
  <c r="E184" i="2"/>
  <c r="I184" i="2" s="1"/>
  <c r="O184" i="2" s="1"/>
  <c r="K237" i="5" l="1"/>
  <c r="L237" i="5"/>
  <c r="E203" i="1"/>
  <c r="P184" i="2"/>
  <c r="D178" i="5" s="1"/>
  <c r="E178" i="5"/>
  <c r="M238" i="5" s="1"/>
  <c r="E185" i="2"/>
  <c r="I185" i="2" s="1"/>
  <c r="O185" i="2" s="1"/>
  <c r="K238" i="5" l="1"/>
  <c r="L238" i="5"/>
  <c r="E204" i="1"/>
  <c r="P185" i="2"/>
  <c r="D179" i="5" s="1"/>
  <c r="E179" i="5"/>
  <c r="M239" i="5" s="1"/>
  <c r="E186" i="2"/>
  <c r="I186" i="2" s="1"/>
  <c r="O186" i="2" s="1"/>
  <c r="K239" i="5" l="1"/>
  <c r="L239" i="5"/>
  <c r="E205" i="1"/>
  <c r="P186" i="2"/>
  <c r="D180" i="5" s="1"/>
  <c r="E180" i="5"/>
  <c r="M240" i="5" s="1"/>
  <c r="E187" i="2"/>
  <c r="I187" i="2" s="1"/>
  <c r="O187" i="2" s="1"/>
  <c r="K240" i="5" l="1"/>
  <c r="L240" i="5"/>
  <c r="E206" i="1"/>
  <c r="P187" i="2"/>
  <c r="D181" i="5" s="1"/>
  <c r="E181" i="5"/>
  <c r="M241" i="5" s="1"/>
  <c r="E188" i="2"/>
  <c r="I188" i="2" s="1"/>
  <c r="O188" i="2" s="1"/>
  <c r="L241" i="5" l="1"/>
  <c r="K241" i="5"/>
  <c r="E207" i="1"/>
  <c r="P188" i="2"/>
  <c r="D182" i="5" s="1"/>
  <c r="E182" i="5"/>
  <c r="M242" i="5" s="1"/>
  <c r="E189" i="2"/>
  <c r="I189" i="2" s="1"/>
  <c r="O189" i="2" s="1"/>
  <c r="K242" i="5" l="1"/>
  <c r="L242" i="5"/>
  <c r="E208" i="1"/>
  <c r="P189" i="2"/>
  <c r="D183" i="5" s="1"/>
  <c r="E183" i="5"/>
  <c r="M243" i="5" s="1"/>
  <c r="E190" i="2"/>
  <c r="I190" i="2" s="1"/>
  <c r="O190" i="2" s="1"/>
  <c r="K243" i="5" l="1"/>
  <c r="L243" i="5"/>
  <c r="P190" i="2"/>
  <c r="D184" i="5" s="1"/>
  <c r="E184" i="5"/>
  <c r="M244" i="5" s="1"/>
  <c r="E191" i="2"/>
  <c r="I191" i="2" s="1"/>
  <c r="O191" i="2" s="1"/>
  <c r="L244" i="5" l="1"/>
  <c r="K244" i="5"/>
  <c r="P191" i="2"/>
  <c r="D185" i="5" s="1"/>
  <c r="E185" i="5"/>
  <c r="M245" i="5" s="1"/>
  <c r="E192" i="2"/>
  <c r="I192" i="2" s="1"/>
  <c r="O192" i="2" s="1"/>
  <c r="L245" i="5" l="1"/>
  <c r="K245" i="5"/>
  <c r="P192" i="2"/>
  <c r="D186" i="5" s="1"/>
  <c r="E186" i="5"/>
  <c r="M246" i="5" s="1"/>
  <c r="E193" i="2"/>
  <c r="I193" i="2" s="1"/>
  <c r="O193" i="2" s="1"/>
  <c r="K246" i="5" l="1"/>
  <c r="L246" i="5"/>
  <c r="P193" i="2"/>
  <c r="D187" i="5" s="1"/>
  <c r="E187" i="5"/>
  <c r="M247" i="5" s="1"/>
  <c r="E194" i="2"/>
  <c r="I194" i="2" s="1"/>
  <c r="O194" i="2" s="1"/>
  <c r="K247" i="5" l="1"/>
  <c r="L247" i="5"/>
  <c r="P194" i="2"/>
  <c r="D188" i="5" s="1"/>
  <c r="E188" i="5"/>
  <c r="M248" i="5" s="1"/>
  <c r="E195" i="2"/>
  <c r="I195" i="2" s="1"/>
  <c r="O195" i="2" s="1"/>
  <c r="K248" i="5" l="1"/>
  <c r="L248" i="5"/>
  <c r="P195" i="2"/>
  <c r="D189" i="5" s="1"/>
  <c r="E189" i="5"/>
  <c r="M249" i="5" s="1"/>
  <c r="E196" i="2"/>
  <c r="I196" i="2" s="1"/>
  <c r="O196" i="2" s="1"/>
  <c r="L249" i="5" l="1"/>
  <c r="K249" i="5"/>
  <c r="P196" i="2"/>
  <c r="D190" i="5" s="1"/>
  <c r="E190" i="5"/>
  <c r="M250" i="5" s="1"/>
  <c r="E197" i="2"/>
  <c r="I197" i="2" s="1"/>
  <c r="O197" i="2" s="1"/>
  <c r="K250" i="5" l="1"/>
  <c r="L250" i="5"/>
  <c r="P197" i="2"/>
  <c r="D191" i="5" s="1"/>
  <c r="E191" i="5"/>
  <c r="M251" i="5" s="1"/>
  <c r="E198" i="2"/>
  <c r="I198" i="2" s="1"/>
  <c r="O198" i="2" s="1"/>
  <c r="K251" i="5" l="1"/>
  <c r="L251" i="5"/>
  <c r="P198" i="2"/>
  <c r="D192" i="5" s="1"/>
  <c r="E192" i="5"/>
  <c r="M252" i="5" s="1"/>
  <c r="E199" i="2"/>
  <c r="I199" i="2" s="1"/>
  <c r="O199" i="2" s="1"/>
  <c r="K252" i="5" l="1"/>
  <c r="L252" i="5"/>
  <c r="P199" i="2"/>
  <c r="D193" i="5" s="1"/>
  <c r="E193" i="5"/>
  <c r="M253" i="5" s="1"/>
  <c r="E200" i="2"/>
  <c r="I200" i="2" s="1"/>
  <c r="O200" i="2" s="1"/>
  <c r="L253" i="5" l="1"/>
  <c r="K253" i="5"/>
  <c r="P200" i="2"/>
  <c r="D194" i="5" s="1"/>
  <c r="E194" i="5"/>
  <c r="M254" i="5" s="1"/>
  <c r="E201" i="2"/>
  <c r="I201" i="2" s="1"/>
  <c r="O201" i="2" s="1"/>
  <c r="L254" i="5" l="1"/>
  <c r="K254" i="5"/>
  <c r="P201" i="2"/>
  <c r="D195" i="5" s="1"/>
  <c r="E195" i="5"/>
  <c r="M255" i="5" s="1"/>
  <c r="E202" i="2"/>
  <c r="I202" i="2" s="1"/>
  <c r="O202" i="2" s="1"/>
  <c r="K255" i="5" l="1"/>
  <c r="L255" i="5"/>
  <c r="P202" i="2"/>
  <c r="D196" i="5" s="1"/>
  <c r="E196" i="5"/>
  <c r="M256" i="5" s="1"/>
  <c r="E203" i="2"/>
  <c r="I203" i="2" s="1"/>
  <c r="O203" i="2" s="1"/>
  <c r="K256" i="5" l="1"/>
  <c r="L256" i="5"/>
  <c r="P203" i="2"/>
  <c r="D197" i="5" s="1"/>
  <c r="E197" i="5"/>
  <c r="M257" i="5" s="1"/>
  <c r="E204" i="2"/>
  <c r="I204" i="2" s="1"/>
  <c r="O204" i="2" s="1"/>
  <c r="L257" i="5" l="1"/>
  <c r="K257" i="5"/>
  <c r="P204" i="2"/>
  <c r="D198" i="5" s="1"/>
  <c r="E198" i="5"/>
  <c r="M258" i="5" s="1"/>
  <c r="E205" i="2"/>
  <c r="I205" i="2" s="1"/>
  <c r="O205" i="2" s="1"/>
  <c r="K258" i="5" l="1"/>
  <c r="L258" i="5"/>
  <c r="P205" i="2"/>
  <c r="D199" i="5" s="1"/>
  <c r="E199" i="5"/>
  <c r="M259" i="5" s="1"/>
  <c r="E206" i="2"/>
  <c r="I206" i="2" s="1"/>
  <c r="O206" i="2" s="1"/>
  <c r="K259" i="5" l="1"/>
  <c r="L259" i="5"/>
  <c r="P206" i="2"/>
  <c r="D200" i="5" s="1"/>
  <c r="E200" i="5"/>
  <c r="M260" i="5" s="1"/>
  <c r="E207" i="2"/>
  <c r="K260" i="5" l="1"/>
  <c r="L260" i="5"/>
  <c r="E208" i="2"/>
  <c r="S207" i="2" s="1"/>
  <c r="I207" i="2"/>
  <c r="S199" i="2"/>
  <c r="S203" i="2"/>
  <c r="S201" i="2"/>
  <c r="O207" i="2" l="1"/>
  <c r="S14" i="2"/>
  <c r="S24" i="2"/>
  <c r="S31" i="2"/>
  <c r="S37" i="2"/>
  <c r="S46" i="2"/>
  <c r="S54" i="2"/>
  <c r="S63" i="2"/>
  <c r="S70" i="2"/>
  <c r="S77" i="2"/>
  <c r="S86" i="2"/>
  <c r="S95" i="2"/>
  <c r="S103" i="2"/>
  <c r="S111" i="2"/>
  <c r="S121" i="2"/>
  <c r="S127" i="2"/>
  <c r="S135" i="2"/>
  <c r="S142" i="2"/>
  <c r="S151" i="2"/>
  <c r="S158" i="2"/>
  <c r="S167" i="2"/>
  <c r="S175" i="2"/>
  <c r="S183" i="2"/>
  <c r="S190" i="2"/>
  <c r="S200" i="2"/>
  <c r="S145" i="2"/>
  <c r="S197" i="2"/>
  <c r="S208" i="2"/>
  <c r="S15" i="2"/>
  <c r="S23" i="2"/>
  <c r="S35" i="2"/>
  <c r="S41" i="2"/>
  <c r="S48" i="2"/>
  <c r="S55" i="2"/>
  <c r="S64" i="2"/>
  <c r="S72" i="2"/>
  <c r="S80" i="2"/>
  <c r="S87" i="2"/>
  <c r="S96" i="2"/>
  <c r="S104" i="2"/>
  <c r="S112" i="2"/>
  <c r="S119" i="2"/>
  <c r="S129" i="2"/>
  <c r="S136" i="2"/>
  <c r="S143" i="2"/>
  <c r="S152" i="2"/>
  <c r="S161" i="2"/>
  <c r="S168" i="2"/>
  <c r="S176" i="2"/>
  <c r="S184" i="2"/>
  <c r="S193" i="2"/>
  <c r="S205" i="2"/>
  <c r="S71" i="2"/>
  <c r="S125" i="2"/>
  <c r="S166" i="2"/>
  <c r="S9" i="2"/>
  <c r="S19" i="2"/>
  <c r="S25" i="2"/>
  <c r="S32" i="2"/>
  <c r="S40" i="2"/>
  <c r="S49" i="2"/>
  <c r="S56" i="2"/>
  <c r="S65" i="2"/>
  <c r="S73" i="2"/>
  <c r="S81" i="2"/>
  <c r="S90" i="2"/>
  <c r="S100" i="2"/>
  <c r="S105" i="2"/>
  <c r="S113" i="2"/>
  <c r="S120" i="2"/>
  <c r="S128" i="2"/>
  <c r="S137" i="2"/>
  <c r="S144" i="2"/>
  <c r="S153" i="2"/>
  <c r="S160" i="2"/>
  <c r="S169" i="2"/>
  <c r="S179" i="2"/>
  <c r="S185" i="2"/>
  <c r="S192" i="2"/>
  <c r="S206" i="2"/>
  <c r="S204" i="2"/>
  <c r="S57" i="2"/>
  <c r="S102" i="2"/>
  <c r="S150" i="2"/>
  <c r="S191" i="2"/>
  <c r="S11" i="2"/>
  <c r="S17" i="2"/>
  <c r="S27" i="2"/>
  <c r="S33" i="2"/>
  <c r="S44" i="2"/>
  <c r="S50" i="2"/>
  <c r="S58" i="2"/>
  <c r="S66" i="2"/>
  <c r="S76" i="2"/>
  <c r="S82" i="2"/>
  <c r="S89" i="2"/>
  <c r="S97" i="2"/>
  <c r="S106" i="2"/>
  <c r="S114" i="2"/>
  <c r="S124" i="2"/>
  <c r="S131" i="2"/>
  <c r="S138" i="2"/>
  <c r="S146" i="2"/>
  <c r="S155" i="2"/>
  <c r="S164" i="2"/>
  <c r="S170" i="2"/>
  <c r="S178" i="2"/>
  <c r="S186" i="2"/>
  <c r="S194" i="2"/>
  <c r="S78" i="2"/>
  <c r="S118" i="2"/>
  <c r="S182" i="2"/>
  <c r="S10" i="2"/>
  <c r="S18" i="2"/>
  <c r="S26" i="2"/>
  <c r="S38" i="2"/>
  <c r="S42" i="2"/>
  <c r="S51" i="2"/>
  <c r="S59" i="2"/>
  <c r="S67" i="2"/>
  <c r="S74" i="2"/>
  <c r="S84" i="2"/>
  <c r="S91" i="2"/>
  <c r="S98" i="2"/>
  <c r="S107" i="2"/>
  <c r="S115" i="2"/>
  <c r="S126" i="2"/>
  <c r="S130" i="2"/>
  <c r="S139" i="2"/>
  <c r="S147" i="2"/>
  <c r="S154" i="2"/>
  <c r="S162" i="2"/>
  <c r="S172" i="2"/>
  <c r="S177" i="2"/>
  <c r="S187" i="2"/>
  <c r="S196" i="2"/>
  <c r="S202" i="2"/>
  <c r="S28" i="2"/>
  <c r="S62" i="2"/>
  <c r="S12" i="2"/>
  <c r="S20" i="2"/>
  <c r="S29" i="2"/>
  <c r="S36" i="2"/>
  <c r="S43" i="2"/>
  <c r="S52" i="2"/>
  <c r="S60" i="2"/>
  <c r="S68" i="2"/>
  <c r="S75" i="2"/>
  <c r="S83" i="2"/>
  <c r="S93" i="2"/>
  <c r="S99" i="2"/>
  <c r="S108" i="2"/>
  <c r="S116" i="2"/>
  <c r="S122" i="2"/>
  <c r="S132" i="2"/>
  <c r="S140" i="2"/>
  <c r="S148" i="2"/>
  <c r="S159" i="2"/>
  <c r="S163" i="2"/>
  <c r="S171" i="2"/>
  <c r="S180" i="2"/>
  <c r="S188" i="2"/>
  <c r="S195" i="2"/>
  <c r="I208" i="2"/>
  <c r="T202" i="2" s="1"/>
  <c r="S16" i="2"/>
  <c r="S22" i="2"/>
  <c r="S47" i="2"/>
  <c r="S94" i="2"/>
  <c r="S110" i="2"/>
  <c r="S174" i="2"/>
  <c r="S13" i="2"/>
  <c r="S21" i="2"/>
  <c r="S30" i="2"/>
  <c r="S34" i="2"/>
  <c r="S45" i="2"/>
  <c r="S53" i="2"/>
  <c r="S61" i="2"/>
  <c r="S69" i="2"/>
  <c r="S79" i="2"/>
  <c r="S88" i="2"/>
  <c r="S92" i="2"/>
  <c r="S101" i="2"/>
  <c r="S109" i="2"/>
  <c r="S117" i="2"/>
  <c r="S123" i="2"/>
  <c r="S133" i="2"/>
  <c r="S141" i="2"/>
  <c r="S149" i="2"/>
  <c r="S156" i="2"/>
  <c r="S165" i="2"/>
  <c r="S173" i="2"/>
  <c r="S181" i="2"/>
  <c r="S189" i="2"/>
  <c r="S198" i="2"/>
  <c r="S39" i="2"/>
  <c r="S85" i="2"/>
  <c r="S134" i="2"/>
  <c r="S157" i="2"/>
  <c r="P207" i="2" l="1"/>
  <c r="D201" i="5" s="1"/>
  <c r="E201" i="5"/>
  <c r="M261" i="5" s="1"/>
  <c r="T208" i="2"/>
  <c r="U202" i="2"/>
  <c r="T204" i="2"/>
  <c r="U204" i="2" s="1"/>
  <c r="T201" i="2"/>
  <c r="U201" i="2" s="1"/>
  <c r="T13" i="2"/>
  <c r="U13" i="2" s="1"/>
  <c r="T21" i="2"/>
  <c r="U21" i="2" s="1"/>
  <c r="T30" i="2"/>
  <c r="U30" i="2" s="1"/>
  <c r="T38" i="2"/>
  <c r="U38" i="2" s="1"/>
  <c r="T49" i="2"/>
  <c r="U49" i="2" s="1"/>
  <c r="T56" i="2"/>
  <c r="U56" i="2" s="1"/>
  <c r="T62" i="2"/>
  <c r="U62" i="2" s="1"/>
  <c r="T70" i="2"/>
  <c r="U70" i="2" s="1"/>
  <c r="T77" i="2"/>
  <c r="U77" i="2" s="1"/>
  <c r="T85" i="2"/>
  <c r="U85" i="2" s="1"/>
  <c r="T94" i="2"/>
  <c r="U94" i="2" s="1"/>
  <c r="T102" i="2"/>
  <c r="U102" i="2" s="1"/>
  <c r="T110" i="2"/>
  <c r="U110" i="2" s="1"/>
  <c r="T118" i="2"/>
  <c r="U118" i="2" s="1"/>
  <c r="T125" i="2"/>
  <c r="U125" i="2" s="1"/>
  <c r="T133" i="2"/>
  <c r="U133" i="2" s="1"/>
  <c r="T143" i="2"/>
  <c r="U143" i="2" s="1"/>
  <c r="T150" i="2"/>
  <c r="U150" i="2" s="1"/>
  <c r="T156" i="2"/>
  <c r="U156" i="2" s="1"/>
  <c r="T165" i="2"/>
  <c r="U165" i="2" s="1"/>
  <c r="T175" i="2"/>
  <c r="U175" i="2" s="1"/>
  <c r="T183" i="2"/>
  <c r="U183" i="2" s="1"/>
  <c r="T192" i="2"/>
  <c r="U192" i="2" s="1"/>
  <c r="T198" i="2"/>
  <c r="U198" i="2" s="1"/>
  <c r="T84" i="2"/>
  <c r="U84" i="2" s="1"/>
  <c r="T139" i="2"/>
  <c r="U139" i="2" s="1"/>
  <c r="T196" i="2"/>
  <c r="U196" i="2" s="1"/>
  <c r="T29" i="2"/>
  <c r="U29" i="2" s="1"/>
  <c r="T109" i="2"/>
  <c r="U109" i="2" s="1"/>
  <c r="T197" i="2"/>
  <c r="U197" i="2" s="1"/>
  <c r="T12" i="2"/>
  <c r="U12" i="2" s="1"/>
  <c r="T22" i="2"/>
  <c r="U22" i="2" s="1"/>
  <c r="T32" i="2"/>
  <c r="U32" i="2" s="1"/>
  <c r="T39" i="2"/>
  <c r="U39" i="2" s="1"/>
  <c r="T46" i="2"/>
  <c r="U46" i="2" s="1"/>
  <c r="T54" i="2"/>
  <c r="U54" i="2" s="1"/>
  <c r="T63" i="2"/>
  <c r="U63" i="2" s="1"/>
  <c r="T72" i="2"/>
  <c r="U72" i="2" s="1"/>
  <c r="T79" i="2"/>
  <c r="U79" i="2" s="1"/>
  <c r="T87" i="2"/>
  <c r="U87" i="2" s="1"/>
  <c r="T93" i="2"/>
  <c r="U93" i="2" s="1"/>
  <c r="T104" i="2"/>
  <c r="U104" i="2" s="1"/>
  <c r="T111" i="2"/>
  <c r="U111" i="2" s="1"/>
  <c r="T120" i="2"/>
  <c r="U120" i="2" s="1"/>
  <c r="T126" i="2"/>
  <c r="U126" i="2" s="1"/>
  <c r="T134" i="2"/>
  <c r="T142" i="2"/>
  <c r="U142" i="2" s="1"/>
  <c r="T153" i="2"/>
  <c r="U153" i="2" s="1"/>
  <c r="T160" i="2"/>
  <c r="U160" i="2" s="1"/>
  <c r="T167" i="2"/>
  <c r="U167" i="2" s="1"/>
  <c r="T174" i="2"/>
  <c r="U174" i="2" s="1"/>
  <c r="T182" i="2"/>
  <c r="U182" i="2" s="1"/>
  <c r="T189" i="2"/>
  <c r="T199" i="2"/>
  <c r="U199" i="2" s="1"/>
  <c r="T78" i="2"/>
  <c r="U78" i="2" s="1"/>
  <c r="T117" i="2"/>
  <c r="U117" i="2" s="1"/>
  <c r="T191" i="2"/>
  <c r="U191" i="2" s="1"/>
  <c r="T23" i="2"/>
  <c r="U23" i="2" s="1"/>
  <c r="T69" i="2"/>
  <c r="O208" i="2"/>
  <c r="E202" i="5" s="1"/>
  <c r="T31" i="2"/>
  <c r="U31" i="2" s="1"/>
  <c r="T40" i="2"/>
  <c r="U40" i="2" s="1"/>
  <c r="T47" i="2"/>
  <c r="U47" i="2" s="1"/>
  <c r="T55" i="2"/>
  <c r="U55" i="2" s="1"/>
  <c r="T66" i="2"/>
  <c r="U66" i="2" s="1"/>
  <c r="T71" i="2"/>
  <c r="U71" i="2" s="1"/>
  <c r="T80" i="2"/>
  <c r="U80" i="2" s="1"/>
  <c r="T88" i="2"/>
  <c r="U88" i="2" s="1"/>
  <c r="T96" i="2"/>
  <c r="U96" i="2" s="1"/>
  <c r="T103" i="2"/>
  <c r="U103" i="2" s="1"/>
  <c r="T112" i="2"/>
  <c r="U112" i="2" s="1"/>
  <c r="T119" i="2"/>
  <c r="U119" i="2" s="1"/>
  <c r="T127" i="2"/>
  <c r="U127" i="2" s="1"/>
  <c r="T136" i="2"/>
  <c r="U136" i="2" s="1"/>
  <c r="T144" i="2"/>
  <c r="U144" i="2" s="1"/>
  <c r="T151" i="2"/>
  <c r="U151" i="2" s="1"/>
  <c r="T158" i="2"/>
  <c r="U158" i="2" s="1"/>
  <c r="T168" i="2"/>
  <c r="U168" i="2" s="1"/>
  <c r="T176" i="2"/>
  <c r="U176" i="2" s="1"/>
  <c r="T184" i="2"/>
  <c r="U184" i="2" s="1"/>
  <c r="T190" i="2"/>
  <c r="U190" i="2" s="1"/>
  <c r="T207" i="2"/>
  <c r="U207" i="2" s="1"/>
  <c r="T177" i="2"/>
  <c r="U177" i="2" s="1"/>
  <c r="T193" i="2"/>
  <c r="U193" i="2" s="1"/>
  <c r="T50" i="2"/>
  <c r="T108" i="2"/>
  <c r="U108" i="2" s="1"/>
  <c r="T163" i="2"/>
  <c r="U163" i="2" s="1"/>
  <c r="T53" i="2"/>
  <c r="U53" i="2" s="1"/>
  <c r="T92" i="2"/>
  <c r="U92" i="2" s="1"/>
  <c r="T132" i="2"/>
  <c r="U132" i="2" s="1"/>
  <c r="T164" i="2"/>
  <c r="U164" i="2" s="1"/>
  <c r="T11" i="2"/>
  <c r="U11" i="2" s="1"/>
  <c r="T16" i="2"/>
  <c r="U16" i="2" s="1"/>
  <c r="T24" i="2"/>
  <c r="U24" i="2" s="1"/>
  <c r="T33" i="2"/>
  <c r="U33" i="2" s="1"/>
  <c r="T41" i="2"/>
  <c r="U41" i="2" s="1"/>
  <c r="T48" i="2"/>
  <c r="U48" i="2" s="1"/>
  <c r="T58" i="2"/>
  <c r="U58" i="2" s="1"/>
  <c r="T64" i="2"/>
  <c r="U64" i="2" s="1"/>
  <c r="T74" i="2"/>
  <c r="U74" i="2" s="1"/>
  <c r="T82" i="2"/>
  <c r="U82" i="2" s="1"/>
  <c r="T89" i="2"/>
  <c r="U89" i="2" s="1"/>
  <c r="T97" i="2"/>
  <c r="U97" i="2" s="1"/>
  <c r="T105" i="2"/>
  <c r="U105" i="2" s="1"/>
  <c r="T113" i="2"/>
  <c r="U113" i="2" s="1"/>
  <c r="T122" i="2"/>
  <c r="U122" i="2" s="1"/>
  <c r="T130" i="2"/>
  <c r="U130" i="2" s="1"/>
  <c r="T137" i="2"/>
  <c r="U137" i="2" s="1"/>
  <c r="T145" i="2"/>
  <c r="U145" i="2" s="1"/>
  <c r="T152" i="2"/>
  <c r="U152" i="2" s="1"/>
  <c r="T161" i="2"/>
  <c r="U161" i="2" s="1"/>
  <c r="T169" i="2"/>
  <c r="U169" i="2" s="1"/>
  <c r="T185" i="2"/>
  <c r="U185" i="2" s="1"/>
  <c r="T19" i="2"/>
  <c r="U19" i="2" s="1"/>
  <c r="T36" i="2"/>
  <c r="U36" i="2" s="1"/>
  <c r="T95" i="2"/>
  <c r="U95" i="2" s="1"/>
  <c r="T148" i="2"/>
  <c r="U148" i="2" s="1"/>
  <c r="T114" i="2"/>
  <c r="U114" i="2" s="1"/>
  <c r="T188" i="2"/>
  <c r="U188" i="2" s="1"/>
  <c r="T9" i="2"/>
  <c r="U9" i="2" s="1"/>
  <c r="T20" i="2"/>
  <c r="U20" i="2" s="1"/>
  <c r="T26" i="2"/>
  <c r="U26" i="2" s="1"/>
  <c r="T34" i="2"/>
  <c r="U34" i="2" s="1"/>
  <c r="T42" i="2"/>
  <c r="U42" i="2" s="1"/>
  <c r="T52" i="2"/>
  <c r="U52" i="2" s="1"/>
  <c r="T57" i="2"/>
  <c r="U57" i="2" s="1"/>
  <c r="T65" i="2"/>
  <c r="U65" i="2" s="1"/>
  <c r="T76" i="2"/>
  <c r="U76" i="2" s="1"/>
  <c r="T81" i="2"/>
  <c r="U81" i="2" s="1"/>
  <c r="T90" i="2"/>
  <c r="U90" i="2" s="1"/>
  <c r="T98" i="2"/>
  <c r="U98" i="2" s="1"/>
  <c r="T107" i="2"/>
  <c r="U107" i="2" s="1"/>
  <c r="T116" i="2"/>
  <c r="U116" i="2" s="1"/>
  <c r="T121" i="2"/>
  <c r="U121" i="2" s="1"/>
  <c r="T129" i="2"/>
  <c r="U129" i="2" s="1"/>
  <c r="T138" i="2"/>
  <c r="U138" i="2" s="1"/>
  <c r="T146" i="2"/>
  <c r="U146" i="2" s="1"/>
  <c r="T155" i="2"/>
  <c r="U155" i="2" s="1"/>
  <c r="T162" i="2"/>
  <c r="U162" i="2" s="1"/>
  <c r="T171" i="2"/>
  <c r="U171" i="2" s="1"/>
  <c r="T178" i="2"/>
  <c r="T186" i="2"/>
  <c r="U186" i="2" s="1"/>
  <c r="T195" i="2"/>
  <c r="U195" i="2" s="1"/>
  <c r="T203" i="2"/>
  <c r="U203" i="2" s="1"/>
  <c r="T59" i="2"/>
  <c r="U59" i="2" s="1"/>
  <c r="T135" i="2"/>
  <c r="U135" i="2" s="1"/>
  <c r="T173" i="2"/>
  <c r="U173" i="2" s="1"/>
  <c r="T45" i="2"/>
  <c r="U45" i="2" s="1"/>
  <c r="T75" i="2"/>
  <c r="U75" i="2" s="1"/>
  <c r="T128" i="2"/>
  <c r="U128" i="2" s="1"/>
  <c r="T159" i="2"/>
  <c r="U159" i="2" s="1"/>
  <c r="T14" i="2"/>
  <c r="U14" i="2" s="1"/>
  <c r="T18" i="2"/>
  <c r="U18" i="2" s="1"/>
  <c r="T28" i="2"/>
  <c r="U28" i="2" s="1"/>
  <c r="T35" i="2"/>
  <c r="U35" i="2" s="1"/>
  <c r="T43" i="2"/>
  <c r="U43" i="2" s="1"/>
  <c r="T51" i="2"/>
  <c r="U51" i="2" s="1"/>
  <c r="T61" i="2"/>
  <c r="U61" i="2" s="1"/>
  <c r="T67" i="2"/>
  <c r="U67" i="2" s="1"/>
  <c r="T73" i="2"/>
  <c r="U73" i="2" s="1"/>
  <c r="T83" i="2"/>
  <c r="U83" i="2" s="1"/>
  <c r="T91" i="2"/>
  <c r="U91" i="2" s="1"/>
  <c r="T99" i="2"/>
  <c r="U99" i="2" s="1"/>
  <c r="T106" i="2"/>
  <c r="U106" i="2" s="1"/>
  <c r="T115" i="2"/>
  <c r="U115" i="2" s="1"/>
  <c r="T123" i="2"/>
  <c r="U123" i="2" s="1"/>
  <c r="T131" i="2"/>
  <c r="U131" i="2" s="1"/>
  <c r="T140" i="2"/>
  <c r="U140" i="2" s="1"/>
  <c r="T147" i="2"/>
  <c r="U147" i="2" s="1"/>
  <c r="T154" i="2"/>
  <c r="U154" i="2" s="1"/>
  <c r="T166" i="2"/>
  <c r="U166" i="2" s="1"/>
  <c r="T170" i="2"/>
  <c r="U170" i="2" s="1"/>
  <c r="T179" i="2"/>
  <c r="U179" i="2" s="1"/>
  <c r="T187" i="2"/>
  <c r="U187" i="2" s="1"/>
  <c r="T194" i="2"/>
  <c r="U194" i="2" s="1"/>
  <c r="T15" i="2"/>
  <c r="U15" i="2" s="1"/>
  <c r="T27" i="2"/>
  <c r="U27" i="2" s="1"/>
  <c r="T68" i="2"/>
  <c r="U68" i="2" s="1"/>
  <c r="T124" i="2"/>
  <c r="U124" i="2" s="1"/>
  <c r="T180" i="2"/>
  <c r="U180" i="2" s="1"/>
  <c r="T10" i="2"/>
  <c r="U10" i="2" s="1"/>
  <c r="T60" i="2"/>
  <c r="U60" i="2" s="1"/>
  <c r="T101" i="2"/>
  <c r="U101" i="2" s="1"/>
  <c r="T149" i="2"/>
  <c r="U149" i="2" s="1"/>
  <c r="T181" i="2"/>
  <c r="U181" i="2" s="1"/>
  <c r="T44" i="2"/>
  <c r="U44" i="2" s="1"/>
  <c r="T100" i="2"/>
  <c r="U100" i="2" s="1"/>
  <c r="T157" i="2"/>
  <c r="U157" i="2" s="1"/>
  <c r="T37" i="2"/>
  <c r="U37" i="2" s="1"/>
  <c r="T86" i="2"/>
  <c r="U86" i="2" s="1"/>
  <c r="T141" i="2"/>
  <c r="U141" i="2" s="1"/>
  <c r="T172" i="2"/>
  <c r="U172" i="2" s="1"/>
  <c r="U208" i="2"/>
  <c r="T205" i="2"/>
  <c r="U205" i="2" s="1"/>
  <c r="U189" i="2"/>
  <c r="U134" i="2"/>
  <c r="U178" i="2"/>
  <c r="U50" i="2"/>
  <c r="T17" i="2"/>
  <c r="U17" i="2" s="1"/>
  <c r="T206" i="2"/>
  <c r="U206" i="2" s="1"/>
  <c r="U69" i="2"/>
  <c r="T25" i="2"/>
  <c r="U25" i="2" s="1"/>
  <c r="T200" i="2"/>
  <c r="U200" i="2" s="1"/>
  <c r="E204" i="5" l="1"/>
  <c r="E205" i="5" s="1"/>
  <c r="M262" i="5"/>
  <c r="M264" i="5" s="1"/>
  <c r="M265" i="5" s="1"/>
  <c r="K261" i="5"/>
  <c r="L261" i="5"/>
  <c r="R37" i="5"/>
  <c r="T37" i="5" s="1"/>
  <c r="Z18" i="5"/>
  <c r="AB18" i="5" s="1"/>
  <c r="P208" i="2"/>
  <c r="D202" i="5" s="1"/>
  <c r="Q3" i="2"/>
  <c r="Y25" i="2"/>
  <c r="Y9" i="2"/>
  <c r="Z9" i="2" s="1"/>
  <c r="Y11" i="2"/>
  <c r="U2" i="2"/>
  <c r="Y15" i="2"/>
  <c r="Y28" i="2"/>
  <c r="Y12" i="2"/>
  <c r="Y24" i="2"/>
  <c r="Y10" i="2"/>
  <c r="Y18" i="2"/>
  <c r="Y16" i="2"/>
  <c r="Y20" i="2"/>
  <c r="Y19" i="2"/>
  <c r="Y26" i="2"/>
  <c r="Y17" i="2"/>
  <c r="Y22" i="2"/>
  <c r="Y27" i="2"/>
  <c r="Y14" i="2"/>
  <c r="Y23" i="2"/>
  <c r="Y21" i="2"/>
  <c r="Y13" i="2"/>
  <c r="Z13" i="2" l="1"/>
  <c r="L262" i="5"/>
  <c r="L264" i="5" s="1"/>
  <c r="L265" i="5" s="1"/>
  <c r="K262" i="5"/>
  <c r="K264" i="5" s="1"/>
  <c r="K265" i="5" s="1"/>
  <c r="N41" i="5"/>
  <c r="D204" i="5"/>
  <c r="D205" i="5" s="1"/>
  <c r="G242" i="5" s="1"/>
  <c r="Z26" i="2"/>
  <c r="Z23" i="2"/>
  <c r="Z21" i="2"/>
  <c r="Z10" i="2"/>
  <c r="J37" i="5"/>
  <c r="L37" i="5" s="1"/>
  <c r="Z37" i="5"/>
  <c r="R18" i="5"/>
  <c r="T18" i="5" s="1"/>
  <c r="Z19" i="2"/>
  <c r="Z15" i="2"/>
  <c r="Z16" i="2"/>
  <c r="Z11" i="2"/>
  <c r="Z14" i="2"/>
  <c r="Z18" i="2"/>
  <c r="Z27" i="2"/>
  <c r="Z25" i="2"/>
  <c r="Z20" i="2"/>
  <c r="Z22" i="2"/>
  <c r="Z24" i="2"/>
  <c r="Z17" i="2"/>
  <c r="Z12" i="2"/>
  <c r="Z28" i="2"/>
  <c r="AB37" i="5" l="1"/>
  <c r="G44" i="8" s="1"/>
  <c r="D44" i="8"/>
  <c r="N50" i="5"/>
  <c r="H43" i="5"/>
  <c r="G43" i="5"/>
  <c r="H44" i="5"/>
  <c r="G44" i="5"/>
  <c r="H45" i="5"/>
  <c r="G45" i="5"/>
  <c r="G46" i="5"/>
  <c r="H47" i="5"/>
  <c r="G47" i="5"/>
  <c r="H46" i="5"/>
  <c r="G48" i="5"/>
  <c r="H48" i="5"/>
  <c r="H49" i="5"/>
  <c r="G49" i="5"/>
  <c r="G50" i="5"/>
  <c r="H50" i="5"/>
  <c r="H51" i="5"/>
  <c r="G51" i="5"/>
  <c r="G52" i="5"/>
  <c r="H52" i="5"/>
  <c r="H53" i="5"/>
  <c r="G53" i="5"/>
  <c r="G54" i="5"/>
  <c r="H54" i="5"/>
  <c r="G55" i="5"/>
  <c r="H55" i="5"/>
  <c r="G56" i="5"/>
  <c r="H56" i="5"/>
  <c r="G57" i="5"/>
  <c r="H57" i="5"/>
  <c r="H58" i="5"/>
  <c r="G58" i="5"/>
  <c r="H59" i="5"/>
  <c r="G59" i="5"/>
  <c r="G60" i="5"/>
  <c r="H60" i="5"/>
  <c r="H61" i="5"/>
  <c r="G61" i="5"/>
  <c r="G62" i="5"/>
  <c r="H62" i="5"/>
  <c r="H63" i="5"/>
  <c r="G63" i="5"/>
  <c r="H64" i="5"/>
  <c r="G64" i="5"/>
  <c r="G65" i="5"/>
  <c r="H65" i="5"/>
  <c r="G66" i="5"/>
  <c r="H66" i="5"/>
  <c r="H67" i="5"/>
  <c r="G67" i="5"/>
  <c r="G68" i="5"/>
  <c r="H68" i="5"/>
  <c r="H69" i="5"/>
  <c r="G69" i="5"/>
  <c r="G70" i="5"/>
  <c r="H70" i="5"/>
  <c r="H71" i="5"/>
  <c r="G71" i="5"/>
  <c r="H72" i="5"/>
  <c r="G72" i="5"/>
  <c r="H73" i="5"/>
  <c r="G73" i="5"/>
  <c r="H74" i="5"/>
  <c r="G74" i="5"/>
  <c r="G75" i="5"/>
  <c r="H75" i="5"/>
  <c r="G76" i="5"/>
  <c r="H76" i="5"/>
  <c r="H77" i="5"/>
  <c r="G77" i="5"/>
  <c r="H78" i="5"/>
  <c r="G78" i="5"/>
  <c r="H79" i="5"/>
  <c r="G79" i="5"/>
  <c r="H80" i="5"/>
  <c r="G80" i="5"/>
  <c r="G81" i="5"/>
  <c r="H81" i="5"/>
  <c r="H82" i="5"/>
  <c r="G82" i="5"/>
  <c r="H83" i="5"/>
  <c r="G83" i="5"/>
  <c r="G84" i="5"/>
  <c r="H84" i="5"/>
  <c r="H85" i="5"/>
  <c r="G85" i="5"/>
  <c r="G86" i="5"/>
  <c r="H86" i="5"/>
  <c r="G87" i="5"/>
  <c r="H87" i="5"/>
  <c r="G88" i="5"/>
  <c r="H88" i="5"/>
  <c r="H89" i="5"/>
  <c r="G89" i="5"/>
  <c r="H90" i="5"/>
  <c r="G90" i="5"/>
  <c r="H91" i="5"/>
  <c r="G91" i="5"/>
  <c r="G92" i="5"/>
  <c r="H92" i="5"/>
  <c r="H93" i="5"/>
  <c r="G93" i="5"/>
  <c r="H94" i="5"/>
  <c r="G94" i="5"/>
  <c r="H95" i="5"/>
  <c r="G95" i="5"/>
  <c r="H96" i="5"/>
  <c r="G96" i="5"/>
  <c r="H97" i="5"/>
  <c r="G97" i="5"/>
  <c r="G98" i="5"/>
  <c r="H98" i="5"/>
  <c r="G99" i="5"/>
  <c r="H99" i="5"/>
  <c r="H100" i="5"/>
  <c r="G100" i="5"/>
  <c r="H101" i="5"/>
  <c r="G101" i="5"/>
  <c r="H102" i="5"/>
  <c r="G102" i="5"/>
  <c r="H103" i="5"/>
  <c r="G103" i="5"/>
  <c r="H104" i="5"/>
  <c r="G104" i="5"/>
  <c r="H105" i="5"/>
  <c r="G105" i="5"/>
  <c r="G106" i="5"/>
  <c r="H106" i="5"/>
  <c r="H107" i="5"/>
  <c r="G107" i="5"/>
  <c r="H108" i="5"/>
  <c r="G108" i="5"/>
  <c r="H109" i="5"/>
  <c r="G109" i="5"/>
  <c r="H110" i="5"/>
  <c r="G110" i="5"/>
  <c r="H111" i="5"/>
  <c r="G111" i="5"/>
  <c r="H112" i="5"/>
  <c r="G112" i="5"/>
  <c r="G113" i="5"/>
  <c r="H113" i="5"/>
  <c r="H114" i="5"/>
  <c r="G114" i="5"/>
  <c r="H115" i="5"/>
  <c r="G115" i="5"/>
  <c r="H116" i="5"/>
  <c r="G116" i="5"/>
  <c r="H117" i="5"/>
  <c r="G117" i="5"/>
  <c r="H118" i="5"/>
  <c r="G118" i="5"/>
  <c r="H119" i="5"/>
  <c r="G119" i="5"/>
  <c r="G120" i="5"/>
  <c r="H120" i="5"/>
  <c r="G121" i="5"/>
  <c r="H121" i="5"/>
  <c r="H122" i="5"/>
  <c r="G122" i="5"/>
  <c r="H123" i="5"/>
  <c r="G123" i="5"/>
  <c r="H124" i="5"/>
  <c r="G124" i="5"/>
  <c r="H125" i="5"/>
  <c r="G125" i="5"/>
  <c r="H126" i="5"/>
  <c r="G126" i="5"/>
  <c r="H127" i="5"/>
  <c r="G127" i="5"/>
  <c r="H128" i="5"/>
  <c r="G128" i="5"/>
  <c r="G129" i="5"/>
  <c r="H129" i="5"/>
  <c r="G130" i="5"/>
  <c r="H130" i="5"/>
  <c r="H131" i="5"/>
  <c r="G131" i="5"/>
  <c r="G132" i="5"/>
  <c r="H132" i="5"/>
  <c r="H133" i="5"/>
  <c r="G133" i="5"/>
  <c r="H134" i="5"/>
  <c r="G134" i="5"/>
  <c r="H135" i="5"/>
  <c r="G135" i="5"/>
  <c r="H136" i="5"/>
  <c r="G136" i="5"/>
  <c r="G137" i="5"/>
  <c r="H137" i="5"/>
  <c r="H138" i="5"/>
  <c r="G138" i="5"/>
  <c r="H139" i="5"/>
  <c r="G139" i="5"/>
  <c r="G140" i="5"/>
  <c r="H140" i="5"/>
  <c r="H141" i="5"/>
  <c r="G141" i="5"/>
  <c r="H142" i="5"/>
  <c r="G142" i="5"/>
  <c r="H143" i="5"/>
  <c r="G143" i="5"/>
  <c r="G144" i="5"/>
  <c r="H144" i="5"/>
  <c r="G145" i="5"/>
  <c r="H145" i="5"/>
  <c r="H146" i="5"/>
  <c r="G146" i="5"/>
  <c r="H147" i="5"/>
  <c r="G147" i="5"/>
  <c r="G148" i="5"/>
  <c r="H148" i="5"/>
  <c r="H149" i="5"/>
  <c r="G149" i="5"/>
  <c r="H150" i="5"/>
  <c r="G150" i="5"/>
  <c r="H151" i="5"/>
  <c r="G151" i="5"/>
  <c r="H152" i="5"/>
  <c r="G152" i="5"/>
  <c r="G153" i="5"/>
  <c r="H153" i="5"/>
  <c r="H154" i="5"/>
  <c r="G154" i="5"/>
  <c r="H155" i="5"/>
  <c r="G155" i="5"/>
  <c r="G156" i="5"/>
  <c r="H156" i="5"/>
  <c r="H157" i="5"/>
  <c r="G157" i="5"/>
  <c r="H158" i="5"/>
  <c r="G158" i="5"/>
  <c r="H159" i="5"/>
  <c r="G159" i="5"/>
  <c r="H160" i="5"/>
  <c r="G160" i="5"/>
  <c r="G161" i="5"/>
  <c r="H161" i="5"/>
  <c r="H162" i="5"/>
  <c r="G162" i="5"/>
  <c r="H163" i="5"/>
  <c r="G163" i="5"/>
  <c r="G164" i="5"/>
  <c r="H164" i="5"/>
  <c r="H165" i="5"/>
  <c r="G165" i="5"/>
  <c r="H166" i="5"/>
  <c r="G166" i="5"/>
  <c r="H167" i="5"/>
  <c r="G167" i="5"/>
  <c r="H168" i="5"/>
  <c r="G168" i="5"/>
  <c r="G169" i="5"/>
  <c r="H169" i="5"/>
  <c r="H170" i="5"/>
  <c r="G170" i="5"/>
  <c r="H171" i="5"/>
  <c r="G171" i="5"/>
  <c r="G172" i="5"/>
  <c r="H172" i="5"/>
  <c r="H173" i="5"/>
  <c r="G173" i="5"/>
  <c r="H174" i="5"/>
  <c r="G174" i="5"/>
  <c r="H175" i="5"/>
  <c r="G175" i="5"/>
  <c r="H176" i="5"/>
  <c r="G176" i="5"/>
  <c r="G177" i="5"/>
  <c r="H177" i="5"/>
  <c r="H178" i="5"/>
  <c r="G178" i="5"/>
  <c r="H179" i="5"/>
  <c r="G179" i="5"/>
  <c r="G180" i="5"/>
  <c r="H180" i="5"/>
  <c r="H181" i="5"/>
  <c r="G181" i="5"/>
  <c r="H182" i="5"/>
  <c r="G182" i="5"/>
  <c r="H183" i="5"/>
  <c r="G183" i="5"/>
  <c r="H184" i="5"/>
  <c r="G184" i="5"/>
  <c r="H185" i="5"/>
  <c r="G185" i="5"/>
  <c r="H186" i="5"/>
  <c r="G186" i="5"/>
  <c r="H187" i="5"/>
  <c r="G187" i="5"/>
  <c r="H188" i="5"/>
  <c r="G188" i="5"/>
  <c r="H189" i="5"/>
  <c r="G189" i="5"/>
  <c r="H190" i="5"/>
  <c r="G190" i="5"/>
  <c r="H191" i="5"/>
  <c r="G191" i="5"/>
  <c r="H192" i="5"/>
  <c r="G192" i="5"/>
  <c r="H193" i="5"/>
  <c r="G193" i="5"/>
  <c r="G194" i="5"/>
  <c r="H194" i="5"/>
  <c r="H195" i="5"/>
  <c r="G195" i="5"/>
  <c r="H196" i="5"/>
  <c r="G196" i="5"/>
  <c r="H197" i="5"/>
  <c r="G197" i="5"/>
  <c r="H198" i="5"/>
  <c r="G198" i="5"/>
  <c r="H199" i="5"/>
  <c r="G199" i="5"/>
  <c r="H200" i="5"/>
  <c r="G200" i="5"/>
  <c r="G201" i="5"/>
  <c r="H201" i="5"/>
  <c r="H202" i="5"/>
  <c r="G202" i="5"/>
  <c r="H203" i="5"/>
  <c r="G203" i="5"/>
  <c r="H204" i="5"/>
  <c r="G204" i="5"/>
  <c r="H205" i="5"/>
  <c r="G205" i="5"/>
  <c r="H206" i="5"/>
  <c r="G206" i="5"/>
  <c r="H207" i="5"/>
  <c r="G207" i="5"/>
  <c r="H208" i="5"/>
  <c r="G208" i="5"/>
  <c r="H209" i="5"/>
  <c r="G209" i="5"/>
  <c r="G210" i="5"/>
  <c r="H210" i="5"/>
  <c r="H211" i="5"/>
  <c r="G211" i="5"/>
  <c r="G212" i="5"/>
  <c r="H212" i="5"/>
  <c r="H213" i="5"/>
  <c r="G213" i="5"/>
  <c r="H214" i="5"/>
  <c r="G214" i="5"/>
  <c r="H215" i="5"/>
  <c r="G215" i="5"/>
  <c r="H216" i="5"/>
  <c r="G216" i="5"/>
  <c r="H217" i="5"/>
  <c r="G217" i="5"/>
  <c r="H218" i="5"/>
  <c r="G218" i="5"/>
  <c r="H219" i="5"/>
  <c r="G219" i="5"/>
  <c r="H220" i="5"/>
  <c r="G220" i="5"/>
  <c r="H221" i="5"/>
  <c r="G221" i="5"/>
  <c r="H222" i="5"/>
  <c r="G222" i="5"/>
  <c r="H223" i="5"/>
  <c r="G223" i="5"/>
  <c r="G224" i="5"/>
  <c r="H224" i="5"/>
  <c r="G225" i="5"/>
  <c r="H225" i="5"/>
  <c r="G226" i="5"/>
  <c r="H226" i="5"/>
  <c r="H227" i="5"/>
  <c r="G227" i="5"/>
  <c r="H228" i="5"/>
  <c r="G228" i="5"/>
  <c r="H229" i="5"/>
  <c r="G229" i="5"/>
  <c r="H230" i="5"/>
  <c r="G230" i="5"/>
  <c r="H231" i="5"/>
  <c r="G231" i="5"/>
  <c r="H232" i="5"/>
  <c r="G232" i="5"/>
  <c r="G233" i="5"/>
  <c r="H233" i="5"/>
  <c r="G234" i="5"/>
  <c r="H234" i="5"/>
  <c r="H235" i="5"/>
  <c r="G235" i="5"/>
  <c r="G236" i="5"/>
  <c r="H236" i="5"/>
  <c r="H237" i="5"/>
  <c r="G237" i="5"/>
  <c r="H238" i="5"/>
  <c r="G238" i="5"/>
  <c r="H239" i="5"/>
  <c r="G239" i="5"/>
  <c r="H240" i="5"/>
  <c r="G240" i="5"/>
  <c r="H241" i="5"/>
  <c r="G241" i="5"/>
  <c r="H242" i="5"/>
  <c r="Z30" i="2"/>
  <c r="G244" i="5" l="1"/>
  <c r="G245" i="5" s="1"/>
  <c r="H244" i="5"/>
  <c r="H245" i="5" s="1"/>
  <c r="P57" i="5" l="1"/>
  <c r="N45" i="5" s="1"/>
</calcChain>
</file>

<file path=xl/sharedStrings.xml><?xml version="1.0" encoding="utf-8"?>
<sst xmlns="http://schemas.openxmlformats.org/spreadsheetml/2006/main" count="2010" uniqueCount="304">
  <si>
    <t>P200</t>
  </si>
  <si>
    <t>P199</t>
  </si>
  <si>
    <t>P198</t>
  </si>
  <si>
    <t>P197</t>
  </si>
  <si>
    <t>P196</t>
  </si>
  <si>
    <t>P195</t>
  </si>
  <si>
    <t>P194</t>
  </si>
  <si>
    <t>P193</t>
  </si>
  <si>
    <t>P192</t>
  </si>
  <si>
    <t>P191</t>
  </si>
  <si>
    <t>P190</t>
  </si>
  <si>
    <t>P189</t>
  </si>
  <si>
    <t>P188</t>
  </si>
  <si>
    <t>P187</t>
  </si>
  <si>
    <t>P186</t>
  </si>
  <si>
    <t>P185</t>
  </si>
  <si>
    <t>P184</t>
  </si>
  <si>
    <t>P183</t>
  </si>
  <si>
    <t>P182</t>
  </si>
  <si>
    <t>P181</t>
  </si>
  <si>
    <t>P180</t>
  </si>
  <si>
    <t>P179</t>
  </si>
  <si>
    <t>P178</t>
  </si>
  <si>
    <t>P177</t>
  </si>
  <si>
    <t>P176</t>
  </si>
  <si>
    <t>P175</t>
  </si>
  <si>
    <t>P174</t>
  </si>
  <si>
    <t>P173</t>
  </si>
  <si>
    <t>P172</t>
  </si>
  <si>
    <t>P171</t>
  </si>
  <si>
    <t>P170</t>
  </si>
  <si>
    <t>P169</t>
  </si>
  <si>
    <t>P168</t>
  </si>
  <si>
    <t>P167</t>
  </si>
  <si>
    <t>P166</t>
  </si>
  <si>
    <t>P165</t>
  </si>
  <si>
    <t>P164</t>
  </si>
  <si>
    <t>P163</t>
  </si>
  <si>
    <t>P162</t>
  </si>
  <si>
    <t>P161</t>
  </si>
  <si>
    <t>P160</t>
  </si>
  <si>
    <t>P159</t>
  </si>
  <si>
    <t>P158</t>
  </si>
  <si>
    <t>P157</t>
  </si>
  <si>
    <t>P156</t>
  </si>
  <si>
    <t>P155</t>
  </si>
  <si>
    <t>P154</t>
  </si>
  <si>
    <t>P153</t>
  </si>
  <si>
    <t>P152</t>
  </si>
  <si>
    <t>P151</t>
  </si>
  <si>
    <t>P150</t>
  </si>
  <si>
    <t>P149</t>
  </si>
  <si>
    <t>P148</t>
  </si>
  <si>
    <t>P147</t>
  </si>
  <si>
    <t>P146</t>
  </si>
  <si>
    <t>P145</t>
  </si>
  <si>
    <t>P144</t>
  </si>
  <si>
    <t>P143</t>
  </si>
  <si>
    <t>P142</t>
  </si>
  <si>
    <t>P141</t>
  </si>
  <si>
    <t>P140</t>
  </si>
  <si>
    <t>P139</t>
  </si>
  <si>
    <t>P138</t>
  </si>
  <si>
    <t>P137</t>
  </si>
  <si>
    <t>P136</t>
  </si>
  <si>
    <t>P135</t>
  </si>
  <si>
    <t>P134</t>
  </si>
  <si>
    <t>P133</t>
  </si>
  <si>
    <t>P132</t>
  </si>
  <si>
    <t>P131</t>
  </si>
  <si>
    <t>P130</t>
  </si>
  <si>
    <t>P129</t>
  </si>
  <si>
    <t>P128</t>
  </si>
  <si>
    <t>P127</t>
  </si>
  <si>
    <t>P126</t>
  </si>
  <si>
    <t>P125</t>
  </si>
  <si>
    <t>P124</t>
  </si>
  <si>
    <t>P123</t>
  </si>
  <si>
    <t>P122</t>
  </si>
  <si>
    <t>P121</t>
  </si>
  <si>
    <t>P120</t>
  </si>
  <si>
    <t>P119</t>
  </si>
  <si>
    <t>P118</t>
  </si>
  <si>
    <t>P117</t>
  </si>
  <si>
    <t>P116</t>
  </si>
  <si>
    <t>P115</t>
  </si>
  <si>
    <t>P114</t>
  </si>
  <si>
    <t>P113</t>
  </si>
  <si>
    <t>P112</t>
  </si>
  <si>
    <t>P111</t>
  </si>
  <si>
    <t>P110</t>
  </si>
  <si>
    <t>P109</t>
  </si>
  <si>
    <t>P108</t>
  </si>
  <si>
    <t>P107</t>
  </si>
  <si>
    <t>P106</t>
  </si>
  <si>
    <t>P105</t>
  </si>
  <si>
    <t>P104</t>
  </si>
  <si>
    <t>P103</t>
  </si>
  <si>
    <t>P102</t>
  </si>
  <si>
    <t>P101</t>
  </si>
  <si>
    <t>P100</t>
  </si>
  <si>
    <t>P99</t>
  </si>
  <si>
    <t>P98</t>
  </si>
  <si>
    <t>P97</t>
  </si>
  <si>
    <t>P96</t>
  </si>
  <si>
    <t>P95</t>
  </si>
  <si>
    <t>P94</t>
  </si>
  <si>
    <t>P93</t>
  </si>
  <si>
    <t>P92</t>
  </si>
  <si>
    <t>P91</t>
  </si>
  <si>
    <t>P90</t>
  </si>
  <si>
    <t>P89</t>
  </si>
  <si>
    <t>P88</t>
  </si>
  <si>
    <t>P87</t>
  </si>
  <si>
    <t>P86</t>
  </si>
  <si>
    <t>P85</t>
  </si>
  <si>
    <t>P84</t>
  </si>
  <si>
    <t>P83</t>
  </si>
  <si>
    <t>P82</t>
  </si>
  <si>
    <t>P81</t>
  </si>
  <si>
    <t>P80</t>
  </si>
  <si>
    <t>P79</t>
  </si>
  <si>
    <t>P78</t>
  </si>
  <si>
    <t>P77</t>
  </si>
  <si>
    <t>P76</t>
  </si>
  <si>
    <t>P75</t>
  </si>
  <si>
    <t>P74</t>
  </si>
  <si>
    <t>P73</t>
  </si>
  <si>
    <t>P72</t>
  </si>
  <si>
    <t>P71</t>
  </si>
  <si>
    <t>P70</t>
  </si>
  <si>
    <t>P69</t>
  </si>
  <si>
    <t>P68</t>
  </si>
  <si>
    <t>P67</t>
  </si>
  <si>
    <t>P66</t>
  </si>
  <si>
    <t>P65</t>
  </si>
  <si>
    <t>P64</t>
  </si>
  <si>
    <t>P63</t>
  </si>
  <si>
    <t>P62</t>
  </si>
  <si>
    <t>P61</t>
  </si>
  <si>
    <t>P60</t>
  </si>
  <si>
    <t>P59</t>
  </si>
  <si>
    <t>P58</t>
  </si>
  <si>
    <t>P57</t>
  </si>
  <si>
    <t>P56</t>
  </si>
  <si>
    <t>P55</t>
  </si>
  <si>
    <t>P54</t>
  </si>
  <si>
    <t>P53</t>
  </si>
  <si>
    <t>P52</t>
  </si>
  <si>
    <t>P51</t>
  </si>
  <si>
    <t>P50</t>
  </si>
  <si>
    <t>P49</t>
  </si>
  <si>
    <t>P48</t>
  </si>
  <si>
    <t>P47</t>
  </si>
  <si>
    <t>P46</t>
  </si>
  <si>
    <t>P45</t>
  </si>
  <si>
    <t>P44</t>
  </si>
  <si>
    <t>P43</t>
  </si>
  <si>
    <t>P42</t>
  </si>
  <si>
    <t>P41</t>
  </si>
  <si>
    <t>P40</t>
  </si>
  <si>
    <t>P39</t>
  </si>
  <si>
    <t>P38</t>
  </si>
  <si>
    <t>P37</t>
  </si>
  <si>
    <t>P36</t>
  </si>
  <si>
    <t>P35</t>
  </si>
  <si>
    <t>P34</t>
  </si>
  <si>
    <t>P33</t>
  </si>
  <si>
    <t>P32</t>
  </si>
  <si>
    <t>P31</t>
  </si>
  <si>
    <t>P30</t>
  </si>
  <si>
    <t>P29</t>
  </si>
  <si>
    <t>P28</t>
  </si>
  <si>
    <t>P27</t>
  </si>
  <si>
    <t>P26</t>
  </si>
  <si>
    <t>P25</t>
  </si>
  <si>
    <t>P24</t>
  </si>
  <si>
    <t>P23</t>
  </si>
  <si>
    <t>P22</t>
  </si>
  <si>
    <t>P21</t>
  </si>
  <si>
    <t>P20</t>
  </si>
  <si>
    <t>P19</t>
  </si>
  <si>
    <t>P18</t>
  </si>
  <si>
    <t>P17</t>
  </si>
  <si>
    <t>P16</t>
  </si>
  <si>
    <t>P15</t>
  </si>
  <si>
    <t>P14</t>
  </si>
  <si>
    <t>P13</t>
  </si>
  <si>
    <t>P12</t>
  </si>
  <si>
    <t>P11</t>
  </si>
  <si>
    <t>P10</t>
  </si>
  <si>
    <t>P9</t>
  </si>
  <si>
    <t>P8</t>
  </si>
  <si>
    <t>P7</t>
  </si>
  <si>
    <t>P6</t>
  </si>
  <si>
    <t>P5</t>
  </si>
  <si>
    <t>P4</t>
  </si>
  <si>
    <t>P3</t>
  </si>
  <si>
    <t>P2</t>
  </si>
  <si>
    <t>P1</t>
  </si>
  <si>
    <t>Partenza</t>
  </si>
  <si>
    <t>Servizio</t>
  </si>
  <si>
    <t>Casuali</t>
  </si>
  <si>
    <t>Arrivo</t>
  </si>
  <si>
    <t>Interarrivo</t>
  </si>
  <si>
    <t>Linea</t>
  </si>
  <si>
    <t xml:space="preserve">Istanti di </t>
  </si>
  <si>
    <t>Tempi di</t>
  </si>
  <si>
    <t>Istanti di</t>
  </si>
  <si>
    <t>Tasso di Servizio</t>
  </si>
  <si>
    <t>Processi in</t>
  </si>
  <si>
    <t>Coda</t>
  </si>
  <si>
    <t>Tempi</t>
  </si>
  <si>
    <t>Servizi</t>
  </si>
  <si>
    <t>Soggiorno</t>
  </si>
  <si>
    <t>Attesa in coda</t>
  </si>
  <si>
    <t>A(t)</t>
  </si>
  <si>
    <t>arrivi</t>
  </si>
  <si>
    <t>D(t)</t>
  </si>
  <si>
    <t>partenze</t>
  </si>
  <si>
    <t>N(t)</t>
  </si>
  <si>
    <t>utenti presenti</t>
  </si>
  <si>
    <t>max utenti presenti</t>
  </si>
  <si>
    <t xml:space="preserve">Frequenze </t>
  </si>
  <si>
    <t>Ass Cum</t>
  </si>
  <si>
    <t>Frequenze</t>
  </si>
  <si>
    <t>Relative</t>
  </si>
  <si>
    <t>Totale</t>
  </si>
  <si>
    <t>Temporale</t>
  </si>
  <si>
    <t>Tasso Interarrivi</t>
  </si>
  <si>
    <t>Tempi di Servizio(1/µ)</t>
  </si>
  <si>
    <t>Interarrivi (1/λ)</t>
  </si>
  <si>
    <t>Media interarrivi</t>
  </si>
  <si>
    <t>Media Tempi Servizio</t>
  </si>
  <si>
    <t>Media tempi soggiorno</t>
  </si>
  <si>
    <t>ρ</t>
  </si>
  <si>
    <t>E[W]=ρ/[µ*(1-ρ)]</t>
  </si>
  <si>
    <t>Media tempo att in coda</t>
  </si>
  <si>
    <t>Equazione</t>
  </si>
  <si>
    <t>di Lindley</t>
  </si>
  <si>
    <t>Processi</t>
  </si>
  <si>
    <t>ID</t>
  </si>
  <si>
    <t>Numero realizzazioni</t>
  </si>
  <si>
    <r>
      <t>E[S]=1/[µ*(1-</t>
    </r>
    <r>
      <rPr>
        <sz val="11"/>
        <color theme="4"/>
        <rFont val="Calibri"/>
        <family val="2"/>
      </rPr>
      <t>ρ</t>
    </r>
    <r>
      <rPr>
        <sz val="11"/>
        <color theme="4"/>
        <rFont val="Calibri"/>
        <family val="2"/>
        <scheme val="minor"/>
      </rPr>
      <t>)]</t>
    </r>
  </si>
  <si>
    <t>SJF</t>
  </si>
  <si>
    <t>Oridine</t>
  </si>
  <si>
    <t>FIFO</t>
  </si>
  <si>
    <t>-</t>
  </si>
  <si>
    <t>Ordinati</t>
  </si>
  <si>
    <t>PDF</t>
  </si>
  <si>
    <t>λ=</t>
  </si>
  <si>
    <r>
      <t>Scarto</t>
    </r>
    <r>
      <rPr>
        <sz val="11"/>
        <color theme="1"/>
        <rFont val="Calibri"/>
        <family val="2"/>
      </rPr>
      <t>²</t>
    </r>
  </si>
  <si>
    <t>media=</t>
  </si>
  <si>
    <t>Varianza campionaria</t>
  </si>
  <si>
    <t>Scarto quadratico medio (S)</t>
  </si>
  <si>
    <t>α=</t>
  </si>
  <si>
    <t>Limite inferiore</t>
  </si>
  <si>
    <t>Limite superiore</t>
  </si>
  <si>
    <t>Media teorica</t>
  </si>
  <si>
    <t>lim inf</t>
  </si>
  <si>
    <t>lim sup</t>
  </si>
  <si>
    <t>x</t>
  </si>
  <si>
    <t>y</t>
  </si>
  <si>
    <t>Valore atteso</t>
  </si>
  <si>
    <t>servizio</t>
  </si>
  <si>
    <t>P</t>
  </si>
  <si>
    <t>C</t>
  </si>
  <si>
    <t>G</t>
  </si>
  <si>
    <t>V</t>
  </si>
  <si>
    <t>Interarrivi</t>
  </si>
  <si>
    <t>Coefficiente di Pearson</t>
  </si>
  <si>
    <r>
      <t xml:space="preserve">Stima </t>
    </r>
    <r>
      <rPr>
        <sz val="11"/>
        <color theme="1"/>
        <rFont val="Calibri"/>
        <family val="2"/>
      </rPr>
      <t>λ</t>
    </r>
  </si>
  <si>
    <r>
      <t xml:space="preserve">Stima </t>
    </r>
    <r>
      <rPr>
        <sz val="11"/>
        <color theme="1"/>
        <rFont val="Calibri"/>
        <family val="2"/>
      </rPr>
      <t>µ</t>
    </r>
  </si>
  <si>
    <t>STIMA PARAMETRI</t>
  </si>
  <si>
    <t>Coefficienti retta di regressione G-V</t>
  </si>
  <si>
    <t>SOMMA</t>
  </si>
  <si>
    <t>MEDIA</t>
  </si>
  <si>
    <t>(xi - xmed)^2</t>
  </si>
  <si>
    <t>(xi-xmed)*(yi-ymed)</t>
  </si>
  <si>
    <t>x-&gt;G</t>
  </si>
  <si>
    <t>y-&gt;V</t>
  </si>
  <si>
    <t>(premi il pulsante per generare nuovi valori)</t>
  </si>
  <si>
    <t>MANCA INTERVALLO CONFIDENZA VARIANZA</t>
  </si>
  <si>
    <t>SI Può USARE QUESTA FORMULA CON SJF?</t>
  </si>
  <si>
    <t>TEST SULLA FORMA</t>
  </si>
  <si>
    <t>TEST SULLA MEDIA</t>
  </si>
  <si>
    <t>IPOTESI: Il produttore immette i prodotti appena realizzati nel buffer in accordo al suo ritmo di produzione, senza tenere conto del ritmo di consumo.</t>
  </si>
  <si>
    <t>TESI:</t>
  </si>
  <si>
    <t>1) Assenza di correlazione fra tempo di produzione e tempo di consumo.</t>
  </si>
  <si>
    <t>2) Una forte correlazione positiva fra tempo di vita dei prodotti e tempo di giacenza è segno che il sistema lavora con tempi e livelli di giacenza alti.</t>
  </si>
  <si>
    <t>3) Una correlazione più o meno significativa, negativa, fra tempi di produzione collocati in un determinato intervallo temporale e tempi di giacenza collocati in un intervallo successivo.</t>
  </si>
  <si>
    <t>I tempi di interarrivo e di servizio dei processi sono indipendenti per ipotesi.</t>
  </si>
  <si>
    <t>Coeff di Pearson</t>
  </si>
  <si>
    <t>Assenza di correlazione fra tempi di interarrivo e tempi di servizio.</t>
  </si>
  <si>
    <t>Una correlazione tra tempi di soggiorno e tempo di attesa in coda è segno che il sistema ha tempi di attesi in coda elevati.</t>
  </si>
  <si>
    <t>Una correlazione negativa fra tempi di interarrivo in un intervallo temporale e tempi di attesa in coda collocati in un intervallo successivo.</t>
  </si>
  <si>
    <t>(n-1)*S^2</t>
  </si>
  <si>
    <t>Varianza</t>
  </si>
  <si>
    <t>m2=</t>
  </si>
  <si>
    <t>interarrivi</t>
  </si>
  <si>
    <t>Somma</t>
  </si>
  <si>
    <t>Media</t>
  </si>
  <si>
    <t>Totale parziale</t>
  </si>
  <si>
    <t>Conteggio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</si>
</sst>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4"/>
      <name val="Calibri"/>
      <family val="2"/>
    </font>
    <font>
      <sz val="11"/>
      <color rgb="FF00206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sz val="11"/>
      <color theme="9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85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0" fillId="4" borderId="0" xfId="0" applyFill="1"/>
    <xf numFmtId="0" fontId="6" fillId="0" borderId="0" xfId="0" applyFont="1"/>
    <xf numFmtId="0" fontId="0" fillId="0" borderId="0" xfId="0" applyFont="1"/>
    <xf numFmtId="0" fontId="3" fillId="0" borderId="0" xfId="0" applyFont="1"/>
    <xf numFmtId="0" fontId="6" fillId="0" borderId="0" xfId="0" applyFont="1" applyAlignment="1">
      <alignment horizontal="right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8" fillId="5" borderId="0" xfId="0" applyFont="1" applyFill="1"/>
    <xf numFmtId="0" fontId="14" fillId="0" borderId="0" xfId="0" applyFont="1"/>
    <xf numFmtId="0" fontId="15" fillId="0" borderId="0" xfId="0" applyFont="1"/>
    <xf numFmtId="0" fontId="7" fillId="5" borderId="0" xfId="0" applyFont="1" applyFill="1"/>
    <xf numFmtId="0" fontId="0" fillId="0" borderId="0" xfId="0" applyFill="1"/>
    <xf numFmtId="0" fontId="9" fillId="6" borderId="0" xfId="0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9" fillId="6" borderId="0" xfId="0" applyFont="1" applyFill="1"/>
    <xf numFmtId="0" fontId="1" fillId="6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0" xfId="0" applyFont="1" applyAlignment="1">
      <alignment horizontal="right"/>
    </xf>
    <xf numFmtId="0" fontId="18" fillId="2" borderId="0" xfId="0" applyFont="1" applyFill="1"/>
    <xf numFmtId="0" fontId="0" fillId="7" borderId="0" xfId="0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6" fillId="7" borderId="0" xfId="0" applyFont="1" applyFill="1"/>
    <xf numFmtId="0" fontId="6" fillId="8" borderId="0" xfId="0" applyFont="1" applyFill="1"/>
    <xf numFmtId="0" fontId="6" fillId="6" borderId="0" xfId="0" applyFont="1" applyFill="1"/>
    <xf numFmtId="0" fontId="6" fillId="9" borderId="0" xfId="0" applyFont="1" applyFill="1"/>
    <xf numFmtId="0" fontId="0" fillId="10" borderId="1" xfId="0" applyFill="1" applyBorder="1"/>
    <xf numFmtId="0" fontId="0" fillId="10" borderId="2" xfId="0" applyFill="1" applyBorder="1"/>
    <xf numFmtId="0" fontId="0" fillId="11" borderId="4" xfId="0" applyFill="1" applyBorder="1"/>
    <xf numFmtId="0" fontId="0" fillId="11" borderId="3" xfId="0" applyFill="1" applyBorder="1"/>
    <xf numFmtId="0" fontId="20" fillId="0" borderId="0" xfId="0" applyFont="1"/>
    <xf numFmtId="0" fontId="0" fillId="4" borderId="1" xfId="0" applyFill="1" applyBorder="1"/>
    <xf numFmtId="0" fontId="0" fillId="4" borderId="8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8" xfId="0" applyFont="1" applyFill="1" applyBorder="1"/>
    <xf numFmtId="0" fontId="0" fillId="4" borderId="2" xfId="0" applyFont="1" applyFill="1" applyBorder="1"/>
    <xf numFmtId="0" fontId="0" fillId="4" borderId="5" xfId="0" applyFont="1" applyFill="1" applyBorder="1"/>
    <xf numFmtId="0" fontId="0" fillId="4" borderId="4" xfId="0" applyFont="1" applyFill="1" applyBorder="1"/>
    <xf numFmtId="0" fontId="0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4" borderId="9" xfId="0" applyFill="1" applyBorder="1"/>
    <xf numFmtId="0" fontId="0" fillId="4" borderId="10" xfId="0" applyFill="1" applyBorder="1"/>
    <xf numFmtId="0" fontId="0" fillId="4" borderId="9" xfId="0" applyFont="1" applyFill="1" applyBorder="1"/>
    <xf numFmtId="0" fontId="0" fillId="4" borderId="10" xfId="0" applyFont="1" applyFill="1" applyBorder="1"/>
    <xf numFmtId="0" fontId="0" fillId="6" borderId="1" xfId="0" applyFill="1" applyBorder="1"/>
    <xf numFmtId="0" fontId="0" fillId="6" borderId="8" xfId="0" applyFill="1" applyBorder="1"/>
    <xf numFmtId="0" fontId="0" fillId="6" borderId="2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4" xfId="0" applyFill="1" applyBorder="1"/>
    <xf numFmtId="0" fontId="6" fillId="6" borderId="0" xfId="0" applyFont="1" applyFill="1" applyBorder="1" applyAlignment="1">
      <alignment horizontal="center"/>
    </xf>
    <xf numFmtId="0" fontId="21" fillId="6" borderId="0" xfId="0" applyFont="1" applyFill="1" applyAlignment="1">
      <alignment horizontal="left" vertical="center"/>
    </xf>
    <xf numFmtId="0" fontId="0" fillId="13" borderId="0" xfId="0" applyFill="1"/>
    <xf numFmtId="0" fontId="0" fillId="12" borderId="0" xfId="0" applyFill="1"/>
    <xf numFmtId="0" fontId="19" fillId="12" borderId="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</cellXfs>
  <cellStyles count="1">
    <cellStyle name="Normale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585"/>
      <color rgb="FFFF0D0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Utenti presenti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solidFill>
                <a:srgbClr val="00B0F0"/>
              </a:solidFill>
            </a:ln>
            <a:effectLst/>
          </c:spPr>
          <c:invertIfNegative val="0"/>
          <c:val>
            <c:numRef>
              <c:f>'Modello P-C SJF'!$Z$9:$Z$28</c:f>
              <c:numCache>
                <c:formatCode>General</c:formatCode>
                <c:ptCount val="20"/>
                <c:pt idx="0">
                  <c:v>5.5E-2</c:v>
                </c:pt>
                <c:pt idx="1">
                  <c:v>0.105</c:v>
                </c:pt>
                <c:pt idx="2">
                  <c:v>0.17499999999999999</c:v>
                </c:pt>
                <c:pt idx="3">
                  <c:v>0.2</c:v>
                </c:pt>
                <c:pt idx="4">
                  <c:v>0.16500000000000001</c:v>
                </c:pt>
                <c:pt idx="5">
                  <c:v>0.12</c:v>
                </c:pt>
                <c:pt idx="6">
                  <c:v>0.12</c:v>
                </c:pt>
                <c:pt idx="7">
                  <c:v>5.5E-2</c:v>
                </c:pt>
                <c:pt idx="8">
                  <c:v>5.0000000000000001E-3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38-452D-8581-FE8D0C3C7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8952815"/>
        <c:axId val="280641887"/>
      </c:barChart>
      <c:catAx>
        <c:axId val="288952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Numero</a:t>
                </a:r>
                <a:r>
                  <a:rPr lang="it-IT" baseline="0"/>
                  <a:t> utenti</a:t>
                </a:r>
                <a:endParaRPr lang="it-IT"/>
              </a:p>
            </c:rich>
          </c:tx>
          <c:layout>
            <c:manualLayout>
              <c:xMode val="edge"/>
              <c:yMode val="edge"/>
              <c:x val="0.47125836798490078"/>
              <c:y val="0.923585329035943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641887"/>
        <c:crosses val="autoZero"/>
        <c:auto val="1"/>
        <c:lblAlgn val="ctr"/>
        <c:lblOffset val="100"/>
        <c:noMultiLvlLbl val="0"/>
      </c:catAx>
      <c:valAx>
        <c:axId val="28064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Frequenze</a:t>
                </a:r>
                <a:r>
                  <a:rPr lang="it-IT" baseline="0"/>
                  <a:t> relative</a:t>
                </a:r>
                <a:endParaRPr lang="it-IT"/>
              </a:p>
            </c:rich>
          </c:tx>
          <c:layout>
            <c:manualLayout>
              <c:xMode val="edge"/>
              <c:yMode val="edge"/>
              <c:x val="1.6645859342488557E-2"/>
              <c:y val="0.346332666965852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8952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Utenti</a:t>
            </a:r>
            <a:r>
              <a:rPr lang="it-IT" baseline="0"/>
              <a:t> presenti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FIFO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'Confronto SJF - FIFO'!$Z$9:$Z$28</c:f>
              <c:numCache>
                <c:formatCode>General</c:formatCode>
                <c:ptCount val="20"/>
                <c:pt idx="0">
                  <c:v>5.5E-2</c:v>
                </c:pt>
                <c:pt idx="1">
                  <c:v>7.0000000000000007E-2</c:v>
                </c:pt>
                <c:pt idx="2">
                  <c:v>0.05</c:v>
                </c:pt>
                <c:pt idx="3">
                  <c:v>0.105</c:v>
                </c:pt>
                <c:pt idx="4">
                  <c:v>7.4999999999999997E-2</c:v>
                </c:pt>
                <c:pt idx="5">
                  <c:v>0.06</c:v>
                </c:pt>
                <c:pt idx="6">
                  <c:v>4.4999999999999998E-2</c:v>
                </c:pt>
                <c:pt idx="7">
                  <c:v>0.08</c:v>
                </c:pt>
                <c:pt idx="8">
                  <c:v>0.09</c:v>
                </c:pt>
                <c:pt idx="9">
                  <c:v>7.0000000000000007E-2</c:v>
                </c:pt>
                <c:pt idx="10">
                  <c:v>5.5E-2</c:v>
                </c:pt>
                <c:pt idx="11">
                  <c:v>7.4999999999999997E-2</c:v>
                </c:pt>
                <c:pt idx="12">
                  <c:v>0.08</c:v>
                </c:pt>
                <c:pt idx="13">
                  <c:v>2.5000000000000001E-2</c:v>
                </c:pt>
                <c:pt idx="14">
                  <c:v>0.05</c:v>
                </c:pt>
                <c:pt idx="15">
                  <c:v>0.01</c:v>
                </c:pt>
                <c:pt idx="16">
                  <c:v>5.0000000000000001E-3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6-45D8-BE2B-1E1598AD1925}"/>
            </c:ext>
          </c:extLst>
        </c:ser>
        <c:ser>
          <c:idx val="1"/>
          <c:order val="1"/>
          <c:tx>
            <c:v>SJF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'Modello P-C SJF'!$Z$9:$Z$28</c:f>
              <c:numCache>
                <c:formatCode>General</c:formatCode>
                <c:ptCount val="20"/>
                <c:pt idx="0">
                  <c:v>5.5E-2</c:v>
                </c:pt>
                <c:pt idx="1">
                  <c:v>0.105</c:v>
                </c:pt>
                <c:pt idx="2">
                  <c:v>0.17499999999999999</c:v>
                </c:pt>
                <c:pt idx="3">
                  <c:v>0.2</c:v>
                </c:pt>
                <c:pt idx="4">
                  <c:v>0.16500000000000001</c:v>
                </c:pt>
                <c:pt idx="5">
                  <c:v>0.12</c:v>
                </c:pt>
                <c:pt idx="6">
                  <c:v>0.12</c:v>
                </c:pt>
                <c:pt idx="7">
                  <c:v>5.5E-2</c:v>
                </c:pt>
                <c:pt idx="8">
                  <c:v>5.0000000000000001E-3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D6-45D8-BE2B-1E1598AD1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2619408"/>
        <c:axId val="1074037408"/>
      </c:barChart>
      <c:catAx>
        <c:axId val="1312619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Numero utenti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74037408"/>
        <c:crosses val="autoZero"/>
        <c:auto val="1"/>
        <c:lblAlgn val="ctr"/>
        <c:lblOffset val="100"/>
        <c:noMultiLvlLbl val="0"/>
      </c:catAx>
      <c:valAx>
        <c:axId val="10740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Frequenze</a:t>
                </a:r>
                <a:r>
                  <a:rPr lang="it-IT" baseline="0"/>
                  <a:t> relative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1261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Interarrivi:</a:t>
            </a:r>
            <a:r>
              <a:rPr lang="it-IT" baseline="0"/>
              <a:t> </a:t>
            </a:r>
            <a:r>
              <a:rPr lang="it-IT"/>
              <a:t>Intervallo</a:t>
            </a:r>
            <a:r>
              <a:rPr lang="it-IT" baseline="0"/>
              <a:t> sulla media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Densità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'Int conf interarrivi'!$C$3:$C$202</c:f>
              <c:numCache>
                <c:formatCode>General</c:formatCode>
                <c:ptCount val="200"/>
                <c:pt idx="0">
                  <c:v>1.9511546520467089E-4</c:v>
                </c:pt>
                <c:pt idx="1">
                  <c:v>5.0842471082502873E-3</c:v>
                </c:pt>
                <c:pt idx="2">
                  <c:v>1.3402555674646139E-2</c:v>
                </c:pt>
                <c:pt idx="3">
                  <c:v>2.2657094926113501E-2</c:v>
                </c:pt>
                <c:pt idx="4">
                  <c:v>2.8152244118326081E-2</c:v>
                </c:pt>
                <c:pt idx="5">
                  <c:v>3.7764641805111791E-2</c:v>
                </c:pt>
                <c:pt idx="6">
                  <c:v>4.487331803449876E-2</c:v>
                </c:pt>
                <c:pt idx="7">
                  <c:v>5.2772888618898728E-2</c:v>
                </c:pt>
                <c:pt idx="8">
                  <c:v>5.7240182790369867E-2</c:v>
                </c:pt>
                <c:pt idx="9">
                  <c:v>5.8776306547970052E-2</c:v>
                </c:pt>
                <c:pt idx="10">
                  <c:v>6.6118654073616098E-2</c:v>
                </c:pt>
                <c:pt idx="11">
                  <c:v>7.4353298936563741E-2</c:v>
                </c:pt>
                <c:pt idx="12">
                  <c:v>7.9741216213209815E-2</c:v>
                </c:pt>
                <c:pt idx="13">
                  <c:v>8.2496570356666396E-2</c:v>
                </c:pt>
                <c:pt idx="14">
                  <c:v>8.6992566377734545E-2</c:v>
                </c:pt>
                <c:pt idx="15">
                  <c:v>8.7744523731098562E-2</c:v>
                </c:pt>
                <c:pt idx="16">
                  <c:v>8.8353272608942643E-2</c:v>
                </c:pt>
                <c:pt idx="17">
                  <c:v>8.9032487139011601E-2</c:v>
                </c:pt>
                <c:pt idx="18">
                  <c:v>9.558816314030022E-2</c:v>
                </c:pt>
                <c:pt idx="19">
                  <c:v>9.6958388053781486E-2</c:v>
                </c:pt>
                <c:pt idx="20">
                  <c:v>0.10219410328396998</c:v>
                </c:pt>
                <c:pt idx="21">
                  <c:v>0.10556357188521032</c:v>
                </c:pt>
                <c:pt idx="22">
                  <c:v>0.10606019859254461</c:v>
                </c:pt>
                <c:pt idx="23">
                  <c:v>0.11842034972443499</c:v>
                </c:pt>
                <c:pt idx="24">
                  <c:v>0.12023859214679512</c:v>
                </c:pt>
                <c:pt idx="25">
                  <c:v>0.13006031963243403</c:v>
                </c:pt>
                <c:pt idx="26">
                  <c:v>0.1330113530688751</c:v>
                </c:pt>
                <c:pt idx="27">
                  <c:v>0.14133687333971268</c:v>
                </c:pt>
                <c:pt idx="28">
                  <c:v>0.17313008722332385</c:v>
                </c:pt>
                <c:pt idx="29">
                  <c:v>0.17670851999109558</c:v>
                </c:pt>
                <c:pt idx="30">
                  <c:v>0.19171801149732456</c:v>
                </c:pt>
                <c:pt idx="31">
                  <c:v>0.19894015037996277</c:v>
                </c:pt>
                <c:pt idx="32">
                  <c:v>0.20037401019527495</c:v>
                </c:pt>
                <c:pt idx="33">
                  <c:v>0.2023840319719995</c:v>
                </c:pt>
                <c:pt idx="34">
                  <c:v>0.2104292594348435</c:v>
                </c:pt>
                <c:pt idx="35">
                  <c:v>0.21180365672261828</c:v>
                </c:pt>
                <c:pt idx="36">
                  <c:v>0.21892699162343734</c:v>
                </c:pt>
                <c:pt idx="37">
                  <c:v>0.22501134677517304</c:v>
                </c:pt>
                <c:pt idx="38">
                  <c:v>0.23432620694155346</c:v>
                </c:pt>
                <c:pt idx="39">
                  <c:v>0.24063784085606291</c:v>
                </c:pt>
                <c:pt idx="40">
                  <c:v>0.24095409099424142</c:v>
                </c:pt>
                <c:pt idx="41">
                  <c:v>0.25320598011704198</c:v>
                </c:pt>
                <c:pt idx="42">
                  <c:v>0.25606913695408884</c:v>
                </c:pt>
                <c:pt idx="43">
                  <c:v>0.26082957352582248</c:v>
                </c:pt>
                <c:pt idx="44">
                  <c:v>0.26329176872986038</c:v>
                </c:pt>
                <c:pt idx="45">
                  <c:v>0.26375317600066484</c:v>
                </c:pt>
                <c:pt idx="46">
                  <c:v>0.26726341171447365</c:v>
                </c:pt>
                <c:pt idx="47">
                  <c:v>0.27110051958542214</c:v>
                </c:pt>
                <c:pt idx="48">
                  <c:v>0.27365943949820287</c:v>
                </c:pt>
                <c:pt idx="49">
                  <c:v>0.27730378405561207</c:v>
                </c:pt>
                <c:pt idx="50">
                  <c:v>0.27888550012392554</c:v>
                </c:pt>
                <c:pt idx="51">
                  <c:v>0.28569406207328885</c:v>
                </c:pt>
                <c:pt idx="52">
                  <c:v>0.28968972046894992</c:v>
                </c:pt>
                <c:pt idx="53">
                  <c:v>0.2899853092330596</c:v>
                </c:pt>
                <c:pt idx="54">
                  <c:v>0.29876094773523554</c:v>
                </c:pt>
                <c:pt idx="55">
                  <c:v>0.31976010030850505</c:v>
                </c:pt>
                <c:pt idx="56">
                  <c:v>0.32404540900233986</c:v>
                </c:pt>
                <c:pt idx="57">
                  <c:v>0.34830696026262231</c:v>
                </c:pt>
                <c:pt idx="58">
                  <c:v>0.35122823983295082</c:v>
                </c:pt>
                <c:pt idx="59">
                  <c:v>0.35300906672441734</c:v>
                </c:pt>
                <c:pt idx="60">
                  <c:v>0.3688079125299088</c:v>
                </c:pt>
                <c:pt idx="61">
                  <c:v>0.37091526440150657</c:v>
                </c:pt>
                <c:pt idx="62">
                  <c:v>0.37469804907454574</c:v>
                </c:pt>
                <c:pt idx="63">
                  <c:v>0.3897698308568322</c:v>
                </c:pt>
                <c:pt idx="64">
                  <c:v>0.399950257945141</c:v>
                </c:pt>
                <c:pt idx="65">
                  <c:v>0.40786081504181704</c:v>
                </c:pt>
                <c:pt idx="66">
                  <c:v>0.40879634005487719</c:v>
                </c:pt>
                <c:pt idx="67">
                  <c:v>0.41120370987237548</c:v>
                </c:pt>
                <c:pt idx="68">
                  <c:v>0.42531304976008122</c:v>
                </c:pt>
                <c:pt idx="69">
                  <c:v>0.43588569258785037</c:v>
                </c:pt>
                <c:pt idx="70">
                  <c:v>0.43711520171939677</c:v>
                </c:pt>
                <c:pt idx="71">
                  <c:v>0.44023561286110252</c:v>
                </c:pt>
                <c:pt idx="72">
                  <c:v>0.46236266150823857</c:v>
                </c:pt>
                <c:pt idx="73">
                  <c:v>0.46242019273676777</c:v>
                </c:pt>
                <c:pt idx="74">
                  <c:v>0.46542537260980577</c:v>
                </c:pt>
                <c:pt idx="75">
                  <c:v>0.47185397097008502</c:v>
                </c:pt>
                <c:pt idx="76">
                  <c:v>0.47759252182808487</c:v>
                </c:pt>
                <c:pt idx="77">
                  <c:v>0.50056173265441217</c:v>
                </c:pt>
                <c:pt idx="78">
                  <c:v>0.51667064654597727</c:v>
                </c:pt>
                <c:pt idx="79">
                  <c:v>0.51748495951662621</c:v>
                </c:pt>
                <c:pt idx="80">
                  <c:v>0.52271854262889073</c:v>
                </c:pt>
                <c:pt idx="81">
                  <c:v>0.53346178741536621</c:v>
                </c:pt>
                <c:pt idx="82">
                  <c:v>0.55178356963753783</c:v>
                </c:pt>
                <c:pt idx="83">
                  <c:v>0.57419388854387199</c:v>
                </c:pt>
                <c:pt idx="84">
                  <c:v>0.58443746950155062</c:v>
                </c:pt>
                <c:pt idx="85">
                  <c:v>0.59201303374234882</c:v>
                </c:pt>
                <c:pt idx="86">
                  <c:v>0.5988211558562675</c:v>
                </c:pt>
                <c:pt idx="87">
                  <c:v>0.61431282058827419</c:v>
                </c:pt>
                <c:pt idx="88">
                  <c:v>0.61785921110121966</c:v>
                </c:pt>
                <c:pt idx="89">
                  <c:v>0.62312916119580497</c:v>
                </c:pt>
                <c:pt idx="90">
                  <c:v>0.63968445731044732</c:v>
                </c:pt>
                <c:pt idx="91">
                  <c:v>0.6440598247772209</c:v>
                </c:pt>
                <c:pt idx="92">
                  <c:v>0.65752450077313007</c:v>
                </c:pt>
                <c:pt idx="93">
                  <c:v>0.66004373138093619</c:v>
                </c:pt>
                <c:pt idx="94">
                  <c:v>0.66270388392557045</c:v>
                </c:pt>
                <c:pt idx="95">
                  <c:v>0.70060514959203246</c:v>
                </c:pt>
                <c:pt idx="96">
                  <c:v>0.70560327147532431</c:v>
                </c:pt>
                <c:pt idx="97">
                  <c:v>0.71149232148600272</c:v>
                </c:pt>
                <c:pt idx="98">
                  <c:v>0.71369685929287052</c:v>
                </c:pt>
                <c:pt idx="99">
                  <c:v>0.72035772379527307</c:v>
                </c:pt>
                <c:pt idx="100">
                  <c:v>0.72834016147238978</c:v>
                </c:pt>
                <c:pt idx="101">
                  <c:v>0.72840613293362289</c:v>
                </c:pt>
                <c:pt idx="102">
                  <c:v>0.7297231761350601</c:v>
                </c:pt>
                <c:pt idx="103">
                  <c:v>0.73019766653051776</c:v>
                </c:pt>
                <c:pt idx="104">
                  <c:v>0.73398006225489765</c:v>
                </c:pt>
                <c:pt idx="105">
                  <c:v>0.75325763012294233</c:v>
                </c:pt>
                <c:pt idx="106">
                  <c:v>0.76047806012031249</c:v>
                </c:pt>
                <c:pt idx="107">
                  <c:v>0.76594698475653722</c:v>
                </c:pt>
                <c:pt idx="108">
                  <c:v>0.77702191653927233</c:v>
                </c:pt>
                <c:pt idx="109">
                  <c:v>0.7817325218776574</c:v>
                </c:pt>
                <c:pt idx="110">
                  <c:v>0.80167553379484824</c:v>
                </c:pt>
                <c:pt idx="111">
                  <c:v>0.80490276846550379</c:v>
                </c:pt>
                <c:pt idx="112">
                  <c:v>0.83344459396899206</c:v>
                </c:pt>
                <c:pt idx="113">
                  <c:v>0.85145855074748922</c:v>
                </c:pt>
                <c:pt idx="114">
                  <c:v>0.87543074012267041</c:v>
                </c:pt>
                <c:pt idx="115">
                  <c:v>0.87887959886578071</c:v>
                </c:pt>
                <c:pt idx="116">
                  <c:v>0.89374995548267366</c:v>
                </c:pt>
                <c:pt idx="117">
                  <c:v>0.90225274827326241</c:v>
                </c:pt>
                <c:pt idx="118">
                  <c:v>0.90469311885429449</c:v>
                </c:pt>
                <c:pt idx="119">
                  <c:v>0.91410828850898462</c:v>
                </c:pt>
                <c:pt idx="120">
                  <c:v>0.9165582850391244</c:v>
                </c:pt>
                <c:pt idx="121">
                  <c:v>0.92939317824332379</c:v>
                </c:pt>
                <c:pt idx="122">
                  <c:v>0.94065012984737861</c:v>
                </c:pt>
                <c:pt idx="123">
                  <c:v>0.94289754726593289</c:v>
                </c:pt>
                <c:pt idx="124">
                  <c:v>0.95648968088196462</c:v>
                </c:pt>
                <c:pt idx="125">
                  <c:v>1.011265406403757</c:v>
                </c:pt>
                <c:pt idx="126">
                  <c:v>1.0213291025228057</c:v>
                </c:pt>
                <c:pt idx="127">
                  <c:v>1.0279736943430557</c:v>
                </c:pt>
                <c:pt idx="128">
                  <c:v>1.0359644147599509</c:v>
                </c:pt>
                <c:pt idx="129">
                  <c:v>1.0589560413089414</c:v>
                </c:pt>
                <c:pt idx="130">
                  <c:v>1.1077789376329787</c:v>
                </c:pt>
                <c:pt idx="131">
                  <c:v>1.1260818639445278</c:v>
                </c:pt>
                <c:pt idx="132">
                  <c:v>1.1262766280170775</c:v>
                </c:pt>
                <c:pt idx="133">
                  <c:v>1.126746976298868</c:v>
                </c:pt>
                <c:pt idx="134">
                  <c:v>1.127388653167537</c:v>
                </c:pt>
                <c:pt idx="135">
                  <c:v>1.1622679649199559</c:v>
                </c:pt>
                <c:pt idx="136">
                  <c:v>1.1649143220038309</c:v>
                </c:pt>
                <c:pt idx="137">
                  <c:v>1.175957705009933</c:v>
                </c:pt>
                <c:pt idx="138">
                  <c:v>1.2157931112469933</c:v>
                </c:pt>
                <c:pt idx="139">
                  <c:v>1.2241964637705145</c:v>
                </c:pt>
                <c:pt idx="140">
                  <c:v>1.2343182826405044</c:v>
                </c:pt>
                <c:pt idx="141">
                  <c:v>1.2605645910279308</c:v>
                </c:pt>
                <c:pt idx="142">
                  <c:v>1.2629767812131345</c:v>
                </c:pt>
                <c:pt idx="143">
                  <c:v>1.2814485888755647</c:v>
                </c:pt>
                <c:pt idx="144">
                  <c:v>1.2832330964914633</c:v>
                </c:pt>
                <c:pt idx="145">
                  <c:v>1.2901565485317157</c:v>
                </c:pt>
                <c:pt idx="146">
                  <c:v>1.3111294299929785</c:v>
                </c:pt>
                <c:pt idx="147">
                  <c:v>1.3377016743093204</c:v>
                </c:pt>
                <c:pt idx="148">
                  <c:v>1.3763537260197494</c:v>
                </c:pt>
                <c:pt idx="149">
                  <c:v>1.4202649578856954</c:v>
                </c:pt>
                <c:pt idx="150">
                  <c:v>1.442930381999755</c:v>
                </c:pt>
                <c:pt idx="151">
                  <c:v>1.4552289926474684</c:v>
                </c:pt>
                <c:pt idx="152">
                  <c:v>1.4578432614953794</c:v>
                </c:pt>
                <c:pt idx="153">
                  <c:v>1.5520756349051883</c:v>
                </c:pt>
                <c:pt idx="154">
                  <c:v>1.5564070688384215</c:v>
                </c:pt>
                <c:pt idx="155">
                  <c:v>1.5813912778050025</c:v>
                </c:pt>
                <c:pt idx="156">
                  <c:v>1.5871599011545325</c:v>
                </c:pt>
                <c:pt idx="157">
                  <c:v>1.5986125754324565</c:v>
                </c:pt>
                <c:pt idx="158">
                  <c:v>1.7180638940260422</c:v>
                </c:pt>
                <c:pt idx="159">
                  <c:v>1.7486511867757544</c:v>
                </c:pt>
                <c:pt idx="160">
                  <c:v>1.7520521740613202</c:v>
                </c:pt>
                <c:pt idx="161">
                  <c:v>1.836282458246562</c:v>
                </c:pt>
                <c:pt idx="162">
                  <c:v>1.855831068021025</c:v>
                </c:pt>
                <c:pt idx="163">
                  <c:v>1.8580216334432982</c:v>
                </c:pt>
                <c:pt idx="164">
                  <c:v>1.9106489979271728</c:v>
                </c:pt>
                <c:pt idx="165">
                  <c:v>2.0052778044218393</c:v>
                </c:pt>
                <c:pt idx="166">
                  <c:v>2.0588212860945001</c:v>
                </c:pt>
                <c:pt idx="167">
                  <c:v>2.0811960252085346</c:v>
                </c:pt>
                <c:pt idx="168">
                  <c:v>2.172346964554619</c:v>
                </c:pt>
                <c:pt idx="169">
                  <c:v>2.1846382915478859</c:v>
                </c:pt>
                <c:pt idx="170">
                  <c:v>2.2137943349905598</c:v>
                </c:pt>
                <c:pt idx="171">
                  <c:v>2.220732939132867</c:v>
                </c:pt>
                <c:pt idx="172">
                  <c:v>2.230638563366766</c:v>
                </c:pt>
                <c:pt idx="173">
                  <c:v>2.2315380856233755</c:v>
                </c:pt>
                <c:pt idx="174">
                  <c:v>2.2623422175130563</c:v>
                </c:pt>
                <c:pt idx="175">
                  <c:v>2.274996597129439</c:v>
                </c:pt>
                <c:pt idx="176">
                  <c:v>2.2817995097989083</c:v>
                </c:pt>
                <c:pt idx="177">
                  <c:v>2.2951263452680344</c:v>
                </c:pt>
                <c:pt idx="178">
                  <c:v>2.3935201502071242</c:v>
                </c:pt>
                <c:pt idx="179">
                  <c:v>2.4077881567325243</c:v>
                </c:pt>
                <c:pt idx="180">
                  <c:v>2.449819120016588</c:v>
                </c:pt>
                <c:pt idx="181">
                  <c:v>2.4871901646338657</c:v>
                </c:pt>
                <c:pt idx="182">
                  <c:v>2.5274436709473944</c:v>
                </c:pt>
                <c:pt idx="183">
                  <c:v>2.5281112307587335</c:v>
                </c:pt>
                <c:pt idx="184">
                  <c:v>2.5567269991078745</c:v>
                </c:pt>
                <c:pt idx="185">
                  <c:v>2.5858800571522993</c:v>
                </c:pt>
                <c:pt idx="186">
                  <c:v>2.5914871103152293</c:v>
                </c:pt>
                <c:pt idx="187">
                  <c:v>2.6103586373420287</c:v>
                </c:pt>
                <c:pt idx="188">
                  <c:v>2.8020642130684905</c:v>
                </c:pt>
                <c:pt idx="189">
                  <c:v>3.2399440915617466</c:v>
                </c:pt>
                <c:pt idx="190">
                  <c:v>3.5534321138923302</c:v>
                </c:pt>
                <c:pt idx="191">
                  <c:v>3.6321735688303884</c:v>
                </c:pt>
                <c:pt idx="192">
                  <c:v>3.8169170648023876</c:v>
                </c:pt>
                <c:pt idx="193">
                  <c:v>3.8262254061781671</c:v>
                </c:pt>
                <c:pt idx="194">
                  <c:v>3.8346927374097799</c:v>
                </c:pt>
                <c:pt idx="195">
                  <c:v>3.9166579973311699</c:v>
                </c:pt>
                <c:pt idx="196">
                  <c:v>4.1805189812423782</c:v>
                </c:pt>
                <c:pt idx="197">
                  <c:v>4.3502706881590836</c:v>
                </c:pt>
                <c:pt idx="198">
                  <c:v>4.9166832772262978</c:v>
                </c:pt>
                <c:pt idx="199">
                  <c:v>6.1568280533355066</c:v>
                </c:pt>
              </c:numCache>
            </c:numRef>
          </c:xVal>
          <c:yVal>
            <c:numRef>
              <c:f>'Int conf interarrivi'!$F$3:$F$202</c:f>
              <c:numCache>
                <c:formatCode>General</c:formatCode>
                <c:ptCount val="200"/>
                <c:pt idx="0">
                  <c:v>0.99980490356857976</c:v>
                </c:pt>
                <c:pt idx="1">
                  <c:v>0.99492865579962619</c:v>
                </c:pt>
                <c:pt idx="2">
                  <c:v>0.98668685866867178</c:v>
                </c:pt>
                <c:pt idx="3">
                  <c:v>0.97759764949921168</c:v>
                </c:pt>
                <c:pt idx="4">
                  <c:v>0.97224033766024165</c:v>
                </c:pt>
                <c:pt idx="5">
                  <c:v>0.96293954993726516</c:v>
                </c:pt>
                <c:pt idx="6">
                  <c:v>0.95611859714451364</c:v>
                </c:pt>
                <c:pt idx="7">
                  <c:v>0.94859542483711468</c:v>
                </c:pt>
                <c:pt idx="8">
                  <c:v>0.9443672213707589</c:v>
                </c:pt>
                <c:pt idx="9">
                  <c:v>0.94291767007624239</c:v>
                </c:pt>
                <c:pt idx="10">
                  <c:v>0.9360197951406668</c:v>
                </c:pt>
                <c:pt idx="11">
                  <c:v>0.92834365307107602</c:v>
                </c:pt>
                <c:pt idx="12">
                  <c:v>0.92335526484317976</c:v>
                </c:pt>
                <c:pt idx="13">
                  <c:v>0.92081459591702941</c:v>
                </c:pt>
                <c:pt idx="14">
                  <c:v>0.91668390988974791</c:v>
                </c:pt>
                <c:pt idx="15">
                  <c:v>0.91599486178285916</c:v>
                </c:pt>
                <c:pt idx="16">
                  <c:v>0.91543742062669153</c:v>
                </c:pt>
                <c:pt idx="17">
                  <c:v>0.91481585334189441</c:v>
                </c:pt>
                <c:pt idx="18">
                  <c:v>0.90883823208892023</c:v>
                </c:pt>
                <c:pt idx="19">
                  <c:v>0.90759377209074221</c:v>
                </c:pt>
                <c:pt idx="20">
                  <c:v>0.90285428767758436</c:v>
                </c:pt>
                <c:pt idx="21">
                  <c:v>0.89981726794842276</c:v>
                </c:pt>
                <c:pt idx="22">
                  <c:v>0.89937050560767651</c:v>
                </c:pt>
                <c:pt idx="23">
                  <c:v>0.8883225679763761</c:v>
                </c:pt>
                <c:pt idx="24">
                  <c:v>0.88670884970862773</c:v>
                </c:pt>
                <c:pt idx="25">
                  <c:v>0.87804246612435077</c:v>
                </c:pt>
                <c:pt idx="26">
                  <c:v>0.87545515294970278</c:v>
                </c:pt>
                <c:pt idx="27">
                  <c:v>0.86819679007686557</c:v>
                </c:pt>
                <c:pt idx="28">
                  <c:v>0.84102820070471995</c:v>
                </c:pt>
                <c:pt idx="29">
                  <c:v>0.8380240161746394</c:v>
                </c:pt>
                <c:pt idx="30">
                  <c:v>0.82553962835603656</c:v>
                </c:pt>
                <c:pt idx="31">
                  <c:v>0.81959894455047688</c:v>
                </c:pt>
                <c:pt idx="32">
                  <c:v>0.81842459668552048</c:v>
                </c:pt>
                <c:pt idx="33">
                  <c:v>0.81678119761084289</c:v>
                </c:pt>
                <c:pt idx="34">
                  <c:v>0.81023636970479518</c:v>
                </c:pt>
                <c:pt idx="35">
                  <c:v>0.80912354794059738</c:v>
                </c:pt>
                <c:pt idx="36">
                  <c:v>0.80338036950912051</c:v>
                </c:pt>
                <c:pt idx="37">
                  <c:v>0.79850715822677476</c:v>
                </c:pt>
                <c:pt idx="38">
                  <c:v>0.79110371027816917</c:v>
                </c:pt>
                <c:pt idx="39">
                  <c:v>0.78612627766044774</c:v>
                </c:pt>
                <c:pt idx="40">
                  <c:v>0.78587770442424376</c:v>
                </c:pt>
                <c:pt idx="41">
                  <c:v>0.77630796134934488</c:v>
                </c:pt>
                <c:pt idx="42">
                  <c:v>0.7740884488246188</c:v>
                </c:pt>
                <c:pt idx="43">
                  <c:v>0.77041220706344604</c:v>
                </c:pt>
                <c:pt idx="44">
                  <c:v>0.76851763518212057</c:v>
                </c:pt>
                <c:pt idx="45">
                  <c:v>0.76816311735234788</c:v>
                </c:pt>
                <c:pt idx="46">
                  <c:v>0.76547141076995373</c:v>
                </c:pt>
                <c:pt idx="47">
                  <c:v>0.76253984236369143</c:v>
                </c:pt>
                <c:pt idx="48">
                  <c:v>0.76059105843118147</c:v>
                </c:pt>
                <c:pt idx="49">
                  <c:v>0.75782424721589525</c:v>
                </c:pt>
                <c:pt idx="50">
                  <c:v>0.75662653189960305</c:v>
                </c:pt>
                <c:pt idx="51">
                  <c:v>0.75149249083595493</c:v>
                </c:pt>
                <c:pt idx="52">
                  <c:v>0.74849577447007509</c:v>
                </c:pt>
                <c:pt idx="53">
                  <c:v>0.7482745602249915</c:v>
                </c:pt>
                <c:pt idx="54">
                  <c:v>0.7417367020815534</c:v>
                </c:pt>
                <c:pt idx="55">
                  <c:v>0.7263232609009499</c:v>
                </c:pt>
                <c:pt idx="56">
                  <c:v>0.72321740105354548</c:v>
                </c:pt>
                <c:pt idx="57">
                  <c:v>0.70588216518044389</c:v>
                </c:pt>
                <c:pt idx="58">
                  <c:v>0.70382309505630702</c:v>
                </c:pt>
                <c:pt idx="59">
                  <c:v>0.70257082333232501</c:v>
                </c:pt>
                <c:pt idx="60">
                  <c:v>0.69155823736494326</c:v>
                </c:pt>
                <c:pt idx="61">
                  <c:v>0.69010241532253347</c:v>
                </c:pt>
                <c:pt idx="62">
                  <c:v>0.68749683775949222</c:v>
                </c:pt>
                <c:pt idx="63">
                  <c:v>0.67721273003472338</c:v>
                </c:pt>
                <c:pt idx="64">
                  <c:v>0.67035338996143312</c:v>
                </c:pt>
                <c:pt idx="65">
                  <c:v>0.66507144032127807</c:v>
                </c:pt>
                <c:pt idx="66">
                  <c:v>0.66444954030025583</c:v>
                </c:pt>
                <c:pt idx="67">
                  <c:v>0.66285188837279074</c:v>
                </c:pt>
                <c:pt idx="68">
                  <c:v>0.65356515468689069</c:v>
                </c:pt>
                <c:pt idx="69">
                  <c:v>0.6466916433589156</c:v>
                </c:pt>
                <c:pt idx="70">
                  <c:v>0.64589701867736449</c:v>
                </c:pt>
                <c:pt idx="71">
                  <c:v>0.64388469569424411</c:v>
                </c:pt>
                <c:pt idx="72">
                  <c:v>0.62979389651620743</c:v>
                </c:pt>
                <c:pt idx="73">
                  <c:v>0.6297576647418599</c:v>
                </c:pt>
                <c:pt idx="74">
                  <c:v>0.62786797054054511</c:v>
                </c:pt>
                <c:pt idx="75">
                  <c:v>0.62384460568908218</c:v>
                </c:pt>
                <c:pt idx="76">
                  <c:v>0.62027489397412472</c:v>
                </c:pt>
                <c:pt idx="77">
                  <c:v>0.60619004731068149</c:v>
                </c:pt>
                <c:pt idx="78">
                  <c:v>0.59650321567943743</c:v>
                </c:pt>
                <c:pt idx="79">
                  <c:v>0.59601767309251952</c:v>
                </c:pt>
                <c:pt idx="80">
                  <c:v>0.5929065134216881</c:v>
                </c:pt>
                <c:pt idx="81">
                  <c:v>0.58657086724818297</c:v>
                </c:pt>
                <c:pt idx="82">
                  <c:v>0.57592169734445231</c:v>
                </c:pt>
                <c:pt idx="83">
                  <c:v>0.56315865452447966</c:v>
                </c:pt>
                <c:pt idx="84">
                  <c:v>0.55741933901228458</c:v>
                </c:pt>
                <c:pt idx="85">
                  <c:v>0.55321252760433526</c:v>
                </c:pt>
                <c:pt idx="86">
                  <c:v>0.5494589809616347</c:v>
                </c:pt>
                <c:pt idx="87">
                  <c:v>0.54101254028047174</c:v>
                </c:pt>
                <c:pt idx="88">
                  <c:v>0.53909729664847605</c:v>
                </c:pt>
                <c:pt idx="89">
                  <c:v>0.53626375367189971</c:v>
                </c:pt>
                <c:pt idx="90">
                  <c:v>0.52745883356598533</c:v>
                </c:pt>
                <c:pt idx="91">
                  <c:v>0.52515604878402489</c:v>
                </c:pt>
                <c:pt idx="92">
                  <c:v>0.51813238453563704</c:v>
                </c:pt>
                <c:pt idx="93">
                  <c:v>0.51682873236331794</c:v>
                </c:pt>
                <c:pt idx="94">
                  <c:v>0.51545571612177488</c:v>
                </c:pt>
                <c:pt idx="95">
                  <c:v>0.49628488630533829</c:v>
                </c:pt>
                <c:pt idx="96">
                  <c:v>0.49381058254156796</c:v>
                </c:pt>
                <c:pt idx="97">
                  <c:v>0.49091105344097297</c:v>
                </c:pt>
                <c:pt idx="98">
                  <c:v>0.48983001349838506</c:v>
                </c:pt>
                <c:pt idx="99">
                  <c:v>0.48657816423584455</c:v>
                </c:pt>
                <c:pt idx="100">
                  <c:v>0.48270954541124012</c:v>
                </c:pt>
                <c:pt idx="101">
                  <c:v>0.48267770140758748</c:v>
                </c:pt>
                <c:pt idx="102">
                  <c:v>0.48204241246578527</c:v>
                </c:pt>
                <c:pt idx="103">
                  <c:v>0.48181374222607354</c:v>
                </c:pt>
                <c:pt idx="104">
                  <c:v>0.47999477418459258</c:v>
                </c:pt>
                <c:pt idx="105">
                  <c:v>0.4708302609235997</c:v>
                </c:pt>
                <c:pt idx="106">
                  <c:v>0.46744290777362019</c:v>
                </c:pt>
                <c:pt idx="107">
                  <c:v>0.46489347542024495</c:v>
                </c:pt>
                <c:pt idx="108">
                  <c:v>0.45977321748236455</c:v>
                </c:pt>
                <c:pt idx="109">
                  <c:v>0.45761250044773361</c:v>
                </c:pt>
                <c:pt idx="110">
                  <c:v>0.4485767286268183</c:v>
                </c:pt>
                <c:pt idx="111">
                  <c:v>0.44713139971795723</c:v>
                </c:pt>
                <c:pt idx="112">
                  <c:v>0.43454985752397401</c:v>
                </c:pt>
                <c:pt idx="113">
                  <c:v>0.42679197999420171</c:v>
                </c:pt>
                <c:pt idx="114">
                  <c:v>0.41668249914713895</c:v>
                </c:pt>
                <c:pt idx="115">
                  <c:v>0.41524789536176443</c:v>
                </c:pt>
                <c:pt idx="116">
                  <c:v>0.4091186957097579</c:v>
                </c:pt>
                <c:pt idx="117">
                  <c:v>0.40565479151247164</c:v>
                </c:pt>
                <c:pt idx="118">
                  <c:v>0.40466605043122972</c:v>
                </c:pt>
                <c:pt idx="119">
                  <c:v>0.40087393065126198</c:v>
                </c:pt>
                <c:pt idx="120">
                  <c:v>0.39989299304967474</c:v>
                </c:pt>
                <c:pt idx="121">
                  <c:v>0.39479320680570618</c:v>
                </c:pt>
                <c:pt idx="122">
                  <c:v>0.39037395907875327</c:v>
                </c:pt>
                <c:pt idx="123">
                  <c:v>0.38949761097223046</c:v>
                </c:pt>
                <c:pt idx="124">
                  <c:v>0.38423932402391681</c:v>
                </c:pt>
                <c:pt idx="125">
                  <c:v>0.36375838602287724</c:v>
                </c:pt>
                <c:pt idx="126">
                  <c:v>0.36011599088524254</c:v>
                </c:pt>
                <c:pt idx="127">
                  <c:v>0.35773109920825658</c:v>
                </c:pt>
                <c:pt idx="128">
                  <c:v>0.35488396050425774</c:v>
                </c:pt>
                <c:pt idx="129">
                  <c:v>0.34681768474242247</c:v>
                </c:pt>
                <c:pt idx="130">
                  <c:v>0.33029174556012642</c:v>
                </c:pt>
                <c:pt idx="131">
                  <c:v>0.32430142748234414</c:v>
                </c:pt>
                <c:pt idx="132">
                  <c:v>0.32423827136606487</c:v>
                </c:pt>
                <c:pt idx="133">
                  <c:v>0.32408580231182682</c:v>
                </c:pt>
                <c:pt idx="134">
                  <c:v>0.32387791065578597</c:v>
                </c:pt>
                <c:pt idx="135">
                  <c:v>0.31277601084624379</c:v>
                </c:pt>
                <c:pt idx="136">
                  <c:v>0.31194938808619044</c:v>
                </c:pt>
                <c:pt idx="137">
                  <c:v>0.30852336378302175</c:v>
                </c:pt>
                <c:pt idx="138">
                  <c:v>0.29647478353902235</c:v>
                </c:pt>
                <c:pt idx="139">
                  <c:v>0.29399384013917595</c:v>
                </c:pt>
                <c:pt idx="140">
                  <c:v>0.29103309707052633</c:v>
                </c:pt>
                <c:pt idx="141">
                  <c:v>0.28349392318207345</c:v>
                </c:pt>
                <c:pt idx="142">
                  <c:v>0.28281090603782166</c:v>
                </c:pt>
                <c:pt idx="143">
                  <c:v>0.2776348302900451</c:v>
                </c:pt>
                <c:pt idx="144">
                  <c:v>0.27713983061765557</c:v>
                </c:pt>
                <c:pt idx="145">
                  <c:v>0.27522769322575086</c:v>
                </c:pt>
                <c:pt idx="146">
                  <c:v>0.26951548554839377</c:v>
                </c:pt>
                <c:pt idx="147">
                  <c:v>0.26244816731135845</c:v>
                </c:pt>
                <c:pt idx="148">
                  <c:v>0.25249755183422917</c:v>
                </c:pt>
                <c:pt idx="149">
                  <c:v>0.2416499813459132</c:v>
                </c:pt>
                <c:pt idx="150">
                  <c:v>0.23623448611566444</c:v>
                </c:pt>
                <c:pt idx="151">
                  <c:v>0.23334692305291571</c:v>
                </c:pt>
                <c:pt idx="152">
                  <c:v>0.2327376881601029</c:v>
                </c:pt>
                <c:pt idx="153">
                  <c:v>0.21180788141729875</c:v>
                </c:pt>
                <c:pt idx="154">
                  <c:v>0.21089243360451218</c:v>
                </c:pt>
                <c:pt idx="155">
                  <c:v>0.20568872887820458</c:v>
                </c:pt>
                <c:pt idx="156">
                  <c:v>0.20450560385628003</c:v>
                </c:pt>
                <c:pt idx="157">
                  <c:v>0.20217682859376329</c:v>
                </c:pt>
                <c:pt idx="158">
                  <c:v>0.17941317478219432</c:v>
                </c:pt>
                <c:pt idx="159">
                  <c:v>0.17400849018771167</c:v>
                </c:pt>
                <c:pt idx="160">
                  <c:v>0.17341769473837196</c:v>
                </c:pt>
                <c:pt idx="161">
                  <c:v>0.15940893531851552</c:v>
                </c:pt>
                <c:pt idx="162">
                  <c:v>0.15632297365153236</c:v>
                </c:pt>
                <c:pt idx="163">
                  <c:v>0.15598091274092973</c:v>
                </c:pt>
                <c:pt idx="164">
                  <c:v>0.14798431391036593</c:v>
                </c:pt>
                <c:pt idx="165">
                  <c:v>0.13462289166565844</c:v>
                </c:pt>
                <c:pt idx="166">
                  <c:v>0.1276042902363812</c:v>
                </c:pt>
                <c:pt idx="167">
                  <c:v>0.12478088183472626</c:v>
                </c:pt>
                <c:pt idx="168">
                  <c:v>0.11390996030416001</c:v>
                </c:pt>
                <c:pt idx="169">
                  <c:v>0.11251842516001409</c:v>
                </c:pt>
                <c:pt idx="170">
                  <c:v>0.10928519618745258</c:v>
                </c:pt>
                <c:pt idx="171">
                  <c:v>0.10852953412418274</c:v>
                </c:pt>
                <c:pt idx="172">
                  <c:v>0.10745978833782564</c:v>
                </c:pt>
                <c:pt idx="173">
                  <c:v>0.10736316932851472</c:v>
                </c:pt>
                <c:pt idx="174">
                  <c:v>0.10410635923102074</c:v>
                </c:pt>
                <c:pt idx="175">
                  <c:v>0.10279725824045503</c:v>
                </c:pt>
                <c:pt idx="176">
                  <c:v>0.10210031079416039</c:v>
                </c:pt>
                <c:pt idx="177">
                  <c:v>0.10074866334726329</c:v>
                </c:pt>
                <c:pt idx="178">
                  <c:v>9.1307700673931805E-2</c:v>
                </c:pt>
                <c:pt idx="179">
                  <c:v>9.0014171788399655E-2</c:v>
                </c:pt>
                <c:pt idx="180">
                  <c:v>8.6309196693608356E-2</c:v>
                </c:pt>
                <c:pt idx="181">
                  <c:v>8.3143257532562576E-2</c:v>
                </c:pt>
                <c:pt idx="182">
                  <c:v>7.9862915454293484E-2</c:v>
                </c:pt>
                <c:pt idx="183">
                  <c:v>7.980961997245993E-2</c:v>
                </c:pt>
                <c:pt idx="184">
                  <c:v>7.7558173444713607E-2</c:v>
                </c:pt>
                <c:pt idx="185">
                  <c:v>7.5329755930610406E-2</c:v>
                </c:pt>
                <c:pt idx="186">
                  <c:v>7.4908559922062357E-2</c:v>
                </c:pt>
                <c:pt idx="187">
                  <c:v>7.3508176258203162E-2</c:v>
                </c:pt>
                <c:pt idx="188">
                  <c:v>6.0684667165250443E-2</c:v>
                </c:pt>
                <c:pt idx="189">
                  <c:v>3.916608475240746E-2</c:v>
                </c:pt>
                <c:pt idx="190">
                  <c:v>2.8626222405641055E-2</c:v>
                </c:pt>
                <c:pt idx="191">
                  <c:v>2.6458612248155378E-2</c:v>
                </c:pt>
                <c:pt idx="192">
                  <c:v>2.1995507196890366E-2</c:v>
                </c:pt>
                <c:pt idx="193">
                  <c:v>2.1791715460158675E-2</c:v>
                </c:pt>
                <c:pt idx="194">
                  <c:v>2.1607976773185263E-2</c:v>
                </c:pt>
                <c:pt idx="195">
                  <c:v>1.9907514661909095E-2</c:v>
                </c:pt>
                <c:pt idx="196">
                  <c:v>1.5290569988167354E-2</c:v>
                </c:pt>
                <c:pt idx="197">
                  <c:v>1.2903319331954658E-2</c:v>
                </c:pt>
                <c:pt idx="198">
                  <c:v>7.3233802323110506E-3</c:v>
                </c:pt>
                <c:pt idx="199">
                  <c:v>2.1189638636459614E-3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36-484B-B9DA-02ECE47137CA}"/>
            </c:ext>
          </c:extLst>
        </c:ser>
        <c:ser>
          <c:idx val="1"/>
          <c:order val="1"/>
          <c:tx>
            <c:strRef>
              <c:f>'Int conf interarrivi'!$H$31</c:f>
              <c:strCache>
                <c:ptCount val="1"/>
                <c:pt idx="0">
                  <c:v>Limite inferiore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'Int conf interarrivi'!$J$38:$J$39</c:f>
              <c:numCache>
                <c:formatCode>General</c:formatCode>
                <c:ptCount val="2"/>
                <c:pt idx="0">
                  <c:v>0.9005339870692104</c:v>
                </c:pt>
                <c:pt idx="1">
                  <c:v>0.9005339870692104</c:v>
                </c:pt>
              </c:numCache>
            </c:numRef>
          </c:xVal>
          <c:yVal>
            <c:numRef>
              <c:f>'Int conf interarrivi'!$K$38:$K$39</c:f>
              <c:numCache>
                <c:formatCode>General</c:formatCode>
                <c:ptCount val="2"/>
                <c:pt idx="0">
                  <c:v>0</c:v>
                </c:pt>
                <c:pt idx="1">
                  <c:v>0.40635261475432982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36-484B-B9DA-02ECE47137CA}"/>
            </c:ext>
          </c:extLst>
        </c:ser>
        <c:ser>
          <c:idx val="2"/>
          <c:order val="2"/>
          <c:tx>
            <c:strRef>
              <c:f>'Int conf interarrivi'!$H$32</c:f>
              <c:strCache>
                <c:ptCount val="1"/>
                <c:pt idx="0">
                  <c:v>Limite superiore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'Int conf interarrivi'!$L$38:$L$39</c:f>
              <c:numCache>
                <c:formatCode>General</c:formatCode>
                <c:ptCount val="2"/>
                <c:pt idx="0">
                  <c:v>1.1909228781524723</c:v>
                </c:pt>
                <c:pt idx="1">
                  <c:v>1.1909228781524723</c:v>
                </c:pt>
              </c:numCache>
            </c:numRef>
          </c:xVal>
          <c:yVal>
            <c:numRef>
              <c:f>'Int conf interarrivi'!$M$38:$M$39</c:f>
              <c:numCache>
                <c:formatCode>General</c:formatCode>
                <c:ptCount val="2"/>
                <c:pt idx="0">
                  <c:v>0</c:v>
                </c:pt>
                <c:pt idx="1">
                  <c:v>0.30394063442198116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36-484B-B9DA-02ECE47137CA}"/>
            </c:ext>
          </c:extLst>
        </c:ser>
        <c:ser>
          <c:idx val="3"/>
          <c:order val="3"/>
          <c:tx>
            <c:strRef>
              <c:f>'Int conf interarrivi'!$M$31</c:f>
              <c:strCache>
                <c:ptCount val="1"/>
                <c:pt idx="0">
                  <c:v>Media teorica</c:v>
                </c:pt>
              </c:strCache>
            </c:strRef>
          </c:tx>
          <c:spPr>
            <a:ln w="19050" cap="rnd">
              <a:solidFill>
                <a:srgbClr val="FF0000">
                  <a:alpha val="99000"/>
                </a:srgbClr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0D0D"/>
              </a:solidFill>
              <a:ln w="9525">
                <a:solidFill>
                  <a:srgbClr val="FF0D0D"/>
                </a:solidFill>
              </a:ln>
              <a:effectLst/>
            </c:spPr>
          </c:marker>
          <c:xVal>
            <c:numRef>
              <c:f>'Int conf interarrivi'!$J$43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'Int conf interarrivi'!$K$43</c:f>
              <c:numCache>
                <c:formatCode>General</c:formatCode>
                <c:ptCount val="1"/>
                <c:pt idx="0">
                  <c:v>0.36787944117144233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36-484B-B9DA-02ECE4713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476672"/>
        <c:axId val="1507537296"/>
      </c:scatterChart>
      <c:valAx>
        <c:axId val="117847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7537296"/>
        <c:crosses val="autoZero"/>
        <c:crossBetween val="midCat"/>
      </c:valAx>
      <c:valAx>
        <c:axId val="150753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8476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Servizi:</a:t>
            </a:r>
            <a:r>
              <a:rPr lang="it-IT" baseline="0"/>
              <a:t> </a:t>
            </a:r>
            <a:r>
              <a:rPr lang="it-IT"/>
              <a:t>Intervallo</a:t>
            </a:r>
            <a:r>
              <a:rPr lang="it-IT" baseline="0"/>
              <a:t> sulla media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Densità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'Int conf servizi'!$C$3:$C$202</c:f>
              <c:numCache>
                <c:formatCode>General</c:formatCode>
                <c:ptCount val="200"/>
                <c:pt idx="0">
                  <c:v>5.1874958026793185E-2</c:v>
                </c:pt>
                <c:pt idx="1">
                  <c:v>5.8647842154474036E-2</c:v>
                </c:pt>
                <c:pt idx="2">
                  <c:v>6.0294362068341718E-2</c:v>
                </c:pt>
                <c:pt idx="3">
                  <c:v>7.740692396311713E-2</c:v>
                </c:pt>
                <c:pt idx="4">
                  <c:v>8.8221544134496649E-2</c:v>
                </c:pt>
                <c:pt idx="5">
                  <c:v>8.9601319104318775E-2</c:v>
                </c:pt>
                <c:pt idx="6">
                  <c:v>9.2654547105591248E-2</c:v>
                </c:pt>
                <c:pt idx="7">
                  <c:v>9.270726077438271E-2</c:v>
                </c:pt>
                <c:pt idx="8">
                  <c:v>9.392433416179799E-2</c:v>
                </c:pt>
                <c:pt idx="9">
                  <c:v>0.11163250697415447</c:v>
                </c:pt>
                <c:pt idx="10">
                  <c:v>0.12492522153141586</c:v>
                </c:pt>
                <c:pt idx="11">
                  <c:v>0.13416235454680076</c:v>
                </c:pt>
                <c:pt idx="12">
                  <c:v>0.13699412247287826</c:v>
                </c:pt>
                <c:pt idx="13">
                  <c:v>0.14448138313101799</c:v>
                </c:pt>
                <c:pt idx="14">
                  <c:v>0.14662797683364343</c:v>
                </c:pt>
                <c:pt idx="15">
                  <c:v>0.16108605534717996</c:v>
                </c:pt>
                <c:pt idx="16">
                  <c:v>0.1630268301352043</c:v>
                </c:pt>
                <c:pt idx="17">
                  <c:v>0.17310088356607456</c:v>
                </c:pt>
                <c:pt idx="18">
                  <c:v>0.17681099749225213</c:v>
                </c:pt>
                <c:pt idx="19">
                  <c:v>0.18284191293291308</c:v>
                </c:pt>
                <c:pt idx="20">
                  <c:v>0.18595752748526523</c:v>
                </c:pt>
                <c:pt idx="21">
                  <c:v>0.18745356999259721</c:v>
                </c:pt>
                <c:pt idx="22">
                  <c:v>0.19253325806886881</c:v>
                </c:pt>
                <c:pt idx="23">
                  <c:v>0.19584486044246857</c:v>
                </c:pt>
                <c:pt idx="24">
                  <c:v>0.20052951645181216</c:v>
                </c:pt>
                <c:pt idx="25">
                  <c:v>0.20230957557635465</c:v>
                </c:pt>
                <c:pt idx="26">
                  <c:v>0.21666767136042006</c:v>
                </c:pt>
                <c:pt idx="27">
                  <c:v>0.21709262836649268</c:v>
                </c:pt>
                <c:pt idx="28">
                  <c:v>0.22292617776071683</c:v>
                </c:pt>
                <c:pt idx="29">
                  <c:v>0.22752506308065329</c:v>
                </c:pt>
                <c:pt idx="30">
                  <c:v>0.22762824535217718</c:v>
                </c:pt>
                <c:pt idx="31">
                  <c:v>0.22768448639979968</c:v>
                </c:pt>
                <c:pt idx="32">
                  <c:v>0.23388897604770048</c:v>
                </c:pt>
                <c:pt idx="33">
                  <c:v>0.25116288253052738</c:v>
                </c:pt>
                <c:pt idx="34">
                  <c:v>0.25395536467794155</c:v>
                </c:pt>
                <c:pt idx="35">
                  <c:v>0.25906213622385227</c:v>
                </c:pt>
                <c:pt idx="36">
                  <c:v>0.2615390977573806</c:v>
                </c:pt>
                <c:pt idx="37">
                  <c:v>0.26274979950784766</c:v>
                </c:pt>
                <c:pt idx="38">
                  <c:v>0.27020458854512203</c:v>
                </c:pt>
                <c:pt idx="39">
                  <c:v>0.27342230827281999</c:v>
                </c:pt>
                <c:pt idx="40">
                  <c:v>0.27935710116008022</c:v>
                </c:pt>
                <c:pt idx="41">
                  <c:v>0.28026747393597745</c:v>
                </c:pt>
                <c:pt idx="42">
                  <c:v>0.29659849874619648</c:v>
                </c:pt>
                <c:pt idx="43">
                  <c:v>0.30786563570205533</c:v>
                </c:pt>
                <c:pt idx="44">
                  <c:v>0.32252470874249445</c:v>
                </c:pt>
                <c:pt idx="45">
                  <c:v>0.32761426824205792</c:v>
                </c:pt>
                <c:pt idx="46">
                  <c:v>0.33265955967271543</c:v>
                </c:pt>
                <c:pt idx="47">
                  <c:v>0.34670793164829561</c:v>
                </c:pt>
                <c:pt idx="48">
                  <c:v>0.34724761527017112</c:v>
                </c:pt>
                <c:pt idx="49">
                  <c:v>0.35297673369632432</c:v>
                </c:pt>
                <c:pt idx="50">
                  <c:v>0.36657628848208212</c:v>
                </c:pt>
                <c:pt idx="51">
                  <c:v>0.38460590435169284</c:v>
                </c:pt>
                <c:pt idx="52">
                  <c:v>0.38639622248782279</c:v>
                </c:pt>
                <c:pt idx="53">
                  <c:v>0.3926217788639364</c:v>
                </c:pt>
                <c:pt idx="54">
                  <c:v>0.39298790494010494</c:v>
                </c:pt>
                <c:pt idx="55">
                  <c:v>0.39361924628116685</c:v>
                </c:pt>
                <c:pt idx="56">
                  <c:v>0.39622726834585992</c:v>
                </c:pt>
                <c:pt idx="57">
                  <c:v>0.39773374803050948</c:v>
                </c:pt>
                <c:pt idx="58">
                  <c:v>0.40202999087076841</c:v>
                </c:pt>
                <c:pt idx="59">
                  <c:v>0.40709142507902857</c:v>
                </c:pt>
                <c:pt idx="60">
                  <c:v>0.42178072712672238</c:v>
                </c:pt>
                <c:pt idx="61">
                  <c:v>0.42337468621590929</c:v>
                </c:pt>
                <c:pt idx="62">
                  <c:v>0.42761250200484302</c:v>
                </c:pt>
                <c:pt idx="63">
                  <c:v>0.42993066579796274</c:v>
                </c:pt>
                <c:pt idx="64">
                  <c:v>0.43803895225735318</c:v>
                </c:pt>
                <c:pt idx="65">
                  <c:v>0.44809079404533175</c:v>
                </c:pt>
                <c:pt idx="66">
                  <c:v>0.45510364499736983</c:v>
                </c:pt>
                <c:pt idx="67">
                  <c:v>0.47142259276653742</c:v>
                </c:pt>
                <c:pt idx="68">
                  <c:v>0.47569545572107241</c:v>
                </c:pt>
                <c:pt idx="69">
                  <c:v>0.47594504162110124</c:v>
                </c:pt>
                <c:pt idx="70">
                  <c:v>0.48171789499664136</c:v>
                </c:pt>
                <c:pt idx="71">
                  <c:v>0.49414047644125247</c:v>
                </c:pt>
                <c:pt idx="72">
                  <c:v>0.50096267837803343</c:v>
                </c:pt>
                <c:pt idx="73">
                  <c:v>0.50741326409748944</c:v>
                </c:pt>
                <c:pt idx="74">
                  <c:v>0.51213387832869683</c:v>
                </c:pt>
                <c:pt idx="75">
                  <c:v>0.51385148228406696</c:v>
                </c:pt>
                <c:pt idx="76">
                  <c:v>0.52344199625378851</c:v>
                </c:pt>
                <c:pt idx="77">
                  <c:v>0.52440894784729186</c:v>
                </c:pt>
                <c:pt idx="78">
                  <c:v>0.54405768511585817</c:v>
                </c:pt>
                <c:pt idx="79">
                  <c:v>0.55411814949693328</c:v>
                </c:pt>
                <c:pt idx="80">
                  <c:v>0.56139483724905082</c:v>
                </c:pt>
                <c:pt idx="81">
                  <c:v>0.56551933956918721</c:v>
                </c:pt>
                <c:pt idx="82">
                  <c:v>0.57172686259419081</c:v>
                </c:pt>
                <c:pt idx="83">
                  <c:v>0.6103188125865765</c:v>
                </c:pt>
                <c:pt idx="84">
                  <c:v>0.61087468676940793</c:v>
                </c:pt>
                <c:pt idx="85">
                  <c:v>0.61608449825234102</c:v>
                </c:pt>
                <c:pt idx="86">
                  <c:v>0.62084881078203713</c:v>
                </c:pt>
                <c:pt idx="87">
                  <c:v>0.63122735479312486</c:v>
                </c:pt>
                <c:pt idx="88">
                  <c:v>0.64832377997138779</c:v>
                </c:pt>
                <c:pt idx="89">
                  <c:v>0.65332061875684122</c:v>
                </c:pt>
                <c:pt idx="90">
                  <c:v>0.66596535845418936</c:v>
                </c:pt>
                <c:pt idx="91">
                  <c:v>0.67787476029005589</c:v>
                </c:pt>
                <c:pt idx="92">
                  <c:v>0.70750704145045384</c:v>
                </c:pt>
                <c:pt idx="93">
                  <c:v>0.7201403378403276</c:v>
                </c:pt>
                <c:pt idx="94">
                  <c:v>0.7387924305032465</c:v>
                </c:pt>
                <c:pt idx="95">
                  <c:v>0.73969720986086163</c:v>
                </c:pt>
                <c:pt idx="96">
                  <c:v>0.74722185547624431</c:v>
                </c:pt>
                <c:pt idx="97">
                  <c:v>0.76340059201566912</c:v>
                </c:pt>
                <c:pt idx="98">
                  <c:v>0.76511501281285277</c:v>
                </c:pt>
                <c:pt idx="99">
                  <c:v>0.77587857242956171</c:v>
                </c:pt>
                <c:pt idx="100">
                  <c:v>0.77825148597675176</c:v>
                </c:pt>
                <c:pt idx="101">
                  <c:v>0.77834017895972951</c:v>
                </c:pt>
                <c:pt idx="102">
                  <c:v>0.78153818504112516</c:v>
                </c:pt>
                <c:pt idx="103">
                  <c:v>0.80604538089549072</c:v>
                </c:pt>
                <c:pt idx="104">
                  <c:v>0.81347086781261568</c:v>
                </c:pt>
                <c:pt idx="105">
                  <c:v>0.81413422960942816</c:v>
                </c:pt>
                <c:pt idx="106">
                  <c:v>0.81604938688486539</c:v>
                </c:pt>
                <c:pt idx="107">
                  <c:v>0.81883961366251901</c:v>
                </c:pt>
                <c:pt idx="108">
                  <c:v>0.8390584427225708</c:v>
                </c:pt>
                <c:pt idx="109">
                  <c:v>0.84425347379127336</c:v>
                </c:pt>
                <c:pt idx="110">
                  <c:v>0.84542814373460373</c:v>
                </c:pt>
                <c:pt idx="111">
                  <c:v>0.84999755760170759</c:v>
                </c:pt>
                <c:pt idx="112">
                  <c:v>0.85809809731102282</c:v>
                </c:pt>
                <c:pt idx="113">
                  <c:v>0.86974474619687037</c:v>
                </c:pt>
                <c:pt idx="114">
                  <c:v>0.87807723273978844</c:v>
                </c:pt>
                <c:pt idx="115">
                  <c:v>0.88491062821175648</c:v>
                </c:pt>
                <c:pt idx="116">
                  <c:v>0.89069048913163607</c:v>
                </c:pt>
                <c:pt idx="117">
                  <c:v>0.89645019346372612</c:v>
                </c:pt>
                <c:pt idx="118">
                  <c:v>0.9151267362887795</c:v>
                </c:pt>
                <c:pt idx="119">
                  <c:v>0.93522596262696533</c:v>
                </c:pt>
                <c:pt idx="120">
                  <c:v>0.93600380123939042</c:v>
                </c:pt>
                <c:pt idx="121">
                  <c:v>0.94087399236301106</c:v>
                </c:pt>
                <c:pt idx="122">
                  <c:v>0.94344328207957751</c:v>
                </c:pt>
                <c:pt idx="123">
                  <c:v>0.95912838161670233</c:v>
                </c:pt>
                <c:pt idx="124">
                  <c:v>0.99353406051388105</c:v>
                </c:pt>
                <c:pt idx="125">
                  <c:v>0.99609860400104311</c:v>
                </c:pt>
                <c:pt idx="126">
                  <c:v>1.0284097879273535</c:v>
                </c:pt>
                <c:pt idx="127">
                  <c:v>1.0295752056981418</c:v>
                </c:pt>
                <c:pt idx="128">
                  <c:v>1.0451052086872576</c:v>
                </c:pt>
                <c:pt idx="129">
                  <c:v>1.0451530220180738</c:v>
                </c:pt>
                <c:pt idx="130">
                  <c:v>1.0569723159624804</c:v>
                </c:pt>
                <c:pt idx="131">
                  <c:v>1.099894123266038</c:v>
                </c:pt>
                <c:pt idx="132">
                  <c:v>1.1017686797092123</c:v>
                </c:pt>
                <c:pt idx="133">
                  <c:v>1.1174234529762892</c:v>
                </c:pt>
                <c:pt idx="134">
                  <c:v>1.1215925685252424</c:v>
                </c:pt>
                <c:pt idx="135">
                  <c:v>1.1453582220895058</c:v>
                </c:pt>
                <c:pt idx="136">
                  <c:v>1.2034410396654105</c:v>
                </c:pt>
                <c:pt idx="137">
                  <c:v>1.2250521978587154</c:v>
                </c:pt>
                <c:pt idx="138">
                  <c:v>1.2345435471872461</c:v>
                </c:pt>
                <c:pt idx="139">
                  <c:v>1.2626355224387</c:v>
                </c:pt>
                <c:pt idx="140">
                  <c:v>1.3055841162507651</c:v>
                </c:pt>
                <c:pt idx="141">
                  <c:v>1.3163468525251425</c:v>
                </c:pt>
                <c:pt idx="142">
                  <c:v>1.330425856739718</c:v>
                </c:pt>
                <c:pt idx="143">
                  <c:v>1.3340281009434016</c:v>
                </c:pt>
                <c:pt idx="144">
                  <c:v>1.3446443531398178</c:v>
                </c:pt>
                <c:pt idx="145">
                  <c:v>1.3604587914161461</c:v>
                </c:pt>
                <c:pt idx="146">
                  <c:v>1.3759039089946299</c:v>
                </c:pt>
                <c:pt idx="147">
                  <c:v>1.4280958233570746</c:v>
                </c:pt>
                <c:pt idx="148">
                  <c:v>1.4522968105886493</c:v>
                </c:pt>
                <c:pt idx="149">
                  <c:v>1.4681589871833611</c:v>
                </c:pt>
                <c:pt idx="150">
                  <c:v>1.4757579338892839</c:v>
                </c:pt>
                <c:pt idx="151">
                  <c:v>1.4878201691539725</c:v>
                </c:pt>
                <c:pt idx="152">
                  <c:v>1.5079798975940573</c:v>
                </c:pt>
                <c:pt idx="153">
                  <c:v>1.5148609214391482</c:v>
                </c:pt>
                <c:pt idx="154">
                  <c:v>1.5342789626667528</c:v>
                </c:pt>
                <c:pt idx="155">
                  <c:v>1.5401230768770491</c:v>
                </c:pt>
                <c:pt idx="156">
                  <c:v>1.5465535749693331</c:v>
                </c:pt>
                <c:pt idx="157">
                  <c:v>1.5855182867319852</c:v>
                </c:pt>
                <c:pt idx="158">
                  <c:v>1.6088468836086005</c:v>
                </c:pt>
                <c:pt idx="159">
                  <c:v>1.6237343452711797</c:v>
                </c:pt>
                <c:pt idx="160">
                  <c:v>1.6607351279033609</c:v>
                </c:pt>
                <c:pt idx="161">
                  <c:v>1.6774665023090711</c:v>
                </c:pt>
                <c:pt idx="162">
                  <c:v>1.6786922137141815</c:v>
                </c:pt>
                <c:pt idx="163">
                  <c:v>1.6816186057587581</c:v>
                </c:pt>
                <c:pt idx="164">
                  <c:v>1.6854020346331697</c:v>
                </c:pt>
                <c:pt idx="165">
                  <c:v>1.7393065038129789</c:v>
                </c:pt>
                <c:pt idx="166">
                  <c:v>1.7473991649057752</c:v>
                </c:pt>
                <c:pt idx="167">
                  <c:v>1.8106271420455988</c:v>
                </c:pt>
                <c:pt idx="168">
                  <c:v>1.8252280310305675</c:v>
                </c:pt>
                <c:pt idx="169">
                  <c:v>1.8351512750788597</c:v>
                </c:pt>
                <c:pt idx="170">
                  <c:v>1.8395673983702259</c:v>
                </c:pt>
                <c:pt idx="171">
                  <c:v>1.857529160688455</c:v>
                </c:pt>
                <c:pt idx="172">
                  <c:v>1.8808025416528642</c:v>
                </c:pt>
                <c:pt idx="173">
                  <c:v>1.8916750693976851</c:v>
                </c:pt>
                <c:pt idx="174">
                  <c:v>1.9593116830500594</c:v>
                </c:pt>
                <c:pt idx="175">
                  <c:v>1.9812820124167139</c:v>
                </c:pt>
                <c:pt idx="176">
                  <c:v>1.9843495105408853</c:v>
                </c:pt>
                <c:pt idx="177">
                  <c:v>1.9874166350091298</c:v>
                </c:pt>
                <c:pt idx="178">
                  <c:v>2.0379856222376072</c:v>
                </c:pt>
                <c:pt idx="179">
                  <c:v>2.0538831283705141</c:v>
                </c:pt>
                <c:pt idx="180">
                  <c:v>2.054508666810162</c:v>
                </c:pt>
                <c:pt idx="181">
                  <c:v>2.0555499637274313</c:v>
                </c:pt>
                <c:pt idx="182">
                  <c:v>2.1357866672063648</c:v>
                </c:pt>
                <c:pt idx="183">
                  <c:v>2.1887842735422947</c:v>
                </c:pt>
                <c:pt idx="184">
                  <c:v>2.1983776539168889</c:v>
                </c:pt>
                <c:pt idx="185">
                  <c:v>2.2371509477525873</c:v>
                </c:pt>
                <c:pt idx="186">
                  <c:v>2.2961648409304272</c:v>
                </c:pt>
                <c:pt idx="187">
                  <c:v>2.3127147405896107</c:v>
                </c:pt>
                <c:pt idx="188">
                  <c:v>2.3754649172683542</c:v>
                </c:pt>
                <c:pt idx="189">
                  <c:v>2.4238232532262831</c:v>
                </c:pt>
                <c:pt idx="190">
                  <c:v>2.4582587654953878</c:v>
                </c:pt>
                <c:pt idx="191">
                  <c:v>2.4746752397149807</c:v>
                </c:pt>
                <c:pt idx="192">
                  <c:v>2.5899439098580888</c:v>
                </c:pt>
                <c:pt idx="193">
                  <c:v>2.8495650491379494</c:v>
                </c:pt>
                <c:pt idx="194">
                  <c:v>3.0190210720677859</c:v>
                </c:pt>
                <c:pt idx="195">
                  <c:v>3.0784382253475795</c:v>
                </c:pt>
                <c:pt idx="196">
                  <c:v>3.1865967308223655</c:v>
                </c:pt>
                <c:pt idx="197">
                  <c:v>3.4197234585096998</c:v>
                </c:pt>
                <c:pt idx="198">
                  <c:v>4.5659183442442561</c:v>
                </c:pt>
                <c:pt idx="199">
                  <c:v>4.8102282695440834</c:v>
                </c:pt>
              </c:numCache>
            </c:numRef>
          </c:xVal>
          <c:yVal>
            <c:numRef>
              <c:f>'Int conf servizi'!$F$3:$F$202</c:f>
              <c:numCache>
                <c:formatCode>General</c:formatCode>
                <c:ptCount val="200"/>
                <c:pt idx="0">
                  <c:v>0.94944758021954456</c:v>
                </c:pt>
                <c:pt idx="1">
                  <c:v>0.94303880920371108</c:v>
                </c:pt>
                <c:pt idx="2">
                  <c:v>0.94148735462573918</c:v>
                </c:pt>
                <c:pt idx="3">
                  <c:v>0.92551316348517232</c:v>
                </c:pt>
                <c:pt idx="4">
                  <c:v>0.91555801774442425</c:v>
                </c:pt>
                <c:pt idx="5">
                  <c:v>0.91429562481747828</c:v>
                </c:pt>
                <c:pt idx="6">
                  <c:v>0.9115083291043149</c:v>
                </c:pt>
                <c:pt idx="7">
                  <c:v>0.91146028142254976</c:v>
                </c:pt>
                <c:pt idx="8">
                  <c:v>0.91035164215486808</c:v>
                </c:pt>
                <c:pt idx="9">
                  <c:v>0.89437287290802281</c:v>
                </c:pt>
                <c:pt idx="10">
                  <c:v>0.88256289681894406</c:v>
                </c:pt>
                <c:pt idx="11">
                  <c:v>0.87444808245579442</c:v>
                </c:pt>
                <c:pt idx="12">
                  <c:v>0.87197535117582414</c:v>
                </c:pt>
                <c:pt idx="13">
                  <c:v>0.86547102461379988</c:v>
                </c:pt>
                <c:pt idx="14">
                  <c:v>0.86361520252318025</c:v>
                </c:pt>
                <c:pt idx="15">
                  <c:v>0.85121881602446148</c:v>
                </c:pt>
                <c:pt idx="16">
                  <c:v>0.8495683940739257</c:v>
                </c:pt>
                <c:pt idx="17">
                  <c:v>0.84105276216267078</c:v>
                </c:pt>
                <c:pt idx="18">
                  <c:v>0.83793814196771488</c:v>
                </c:pt>
                <c:pt idx="19">
                  <c:v>0.83289981601901453</c:v>
                </c:pt>
                <c:pt idx="20">
                  <c:v>0.83030885953831135</c:v>
                </c:pt>
                <c:pt idx="21">
                  <c:v>0.82906761090209635</c:v>
                </c:pt>
                <c:pt idx="22">
                  <c:v>0.82486688426776145</c:v>
                </c:pt>
                <c:pt idx="23">
                  <c:v>0.82213977118528281</c:v>
                </c:pt>
                <c:pt idx="24">
                  <c:v>0.81829733643537095</c:v>
                </c:pt>
                <c:pt idx="25">
                  <c:v>0.81684201445892102</c:v>
                </c:pt>
                <c:pt idx="26">
                  <c:v>0.80519751504075054</c:v>
                </c:pt>
                <c:pt idx="27">
                  <c:v>0.80485541340985245</c:v>
                </c:pt>
                <c:pt idx="28">
                  <c:v>0.80017391774466862</c:v>
                </c:pt>
                <c:pt idx="29">
                  <c:v>0.79650245844196865</c:v>
                </c:pt>
                <c:pt idx="30">
                  <c:v>0.79642027774890045</c:v>
                </c:pt>
                <c:pt idx="31">
                  <c:v>0.79637548749766918</c:v>
                </c:pt>
                <c:pt idx="32">
                  <c:v>0.7914496808895527</c:v>
                </c:pt>
                <c:pt idx="33">
                  <c:v>0.77789565562645691</c:v>
                </c:pt>
                <c:pt idx="34">
                  <c:v>0.77572642607260001</c:v>
                </c:pt>
                <c:pt idx="35">
                  <c:v>0.77177506636550819</c:v>
                </c:pt>
                <c:pt idx="36">
                  <c:v>0.76986577481063245</c:v>
                </c:pt>
                <c:pt idx="37">
                  <c:v>0.76893426097594397</c:v>
                </c:pt>
                <c:pt idx="38">
                  <c:v>0.76322333161182787</c:v>
                </c:pt>
                <c:pt idx="39">
                  <c:v>0.76077143970705374</c:v>
                </c:pt>
                <c:pt idx="40">
                  <c:v>0.75626979016967366</c:v>
                </c:pt>
                <c:pt idx="41">
                  <c:v>0.75558161603649632</c:v>
                </c:pt>
                <c:pt idx="42">
                  <c:v>0.74334240536310792</c:v>
                </c:pt>
                <c:pt idx="43">
                  <c:v>0.73501407102411298</c:v>
                </c:pt>
                <c:pt idx="44">
                  <c:v>0.72431803459800692</c:v>
                </c:pt>
                <c:pt idx="45">
                  <c:v>0.72064094019718272</c:v>
                </c:pt>
                <c:pt idx="46">
                  <c:v>0.7170142531765944</c:v>
                </c:pt>
                <c:pt idx="47">
                  <c:v>0.70701179387451807</c:v>
                </c:pt>
                <c:pt idx="48">
                  <c:v>0.70663033413193754</c:v>
                </c:pt>
                <c:pt idx="49">
                  <c:v>0.70259353994173956</c:v>
                </c:pt>
                <c:pt idx="50">
                  <c:v>0.69310325867006639</c:v>
                </c:pt>
                <c:pt idx="51">
                  <c:v>0.68071885168700952</c:v>
                </c:pt>
                <c:pt idx="52">
                  <c:v>0.67950123866379619</c:v>
                </c:pt>
                <c:pt idx="53">
                  <c:v>0.67528410601385402</c:v>
                </c:pt>
                <c:pt idx="54">
                  <c:v>0.67503691214864148</c:v>
                </c:pt>
                <c:pt idx="55">
                  <c:v>0.67461086794307079</c:v>
                </c:pt>
                <c:pt idx="56">
                  <c:v>0.67285376019823262</c:v>
                </c:pt>
                <c:pt idx="57">
                  <c:v>0.67184088280891774</c:v>
                </c:pt>
                <c:pt idx="58">
                  <c:v>0.66896068267611131</c:v>
                </c:pt>
                <c:pt idx="59">
                  <c:v>0.66558333651064172</c:v>
                </c:pt>
                <c:pt idx="60">
                  <c:v>0.65587783984555847</c:v>
                </c:pt>
                <c:pt idx="61">
                  <c:v>0.65483323015506623</c:v>
                </c:pt>
                <c:pt idx="62">
                  <c:v>0.6520640393577809</c:v>
                </c:pt>
                <c:pt idx="63">
                  <c:v>0.65055419881592724</c:v>
                </c:pt>
                <c:pt idx="64">
                  <c:v>0.64530064645088714</c:v>
                </c:pt>
                <c:pt idx="65">
                  <c:v>0.63884667792441596</c:v>
                </c:pt>
                <c:pt idx="66">
                  <c:v>0.63438221399785177</c:v>
                </c:pt>
                <c:pt idx="67">
                  <c:v>0.62411377670745827</c:v>
                </c:pt>
                <c:pt idx="68">
                  <c:v>0.62145271329984142</c:v>
                </c:pt>
                <c:pt idx="69">
                  <c:v>0.62129762681957157</c:v>
                </c:pt>
                <c:pt idx="70">
                  <c:v>0.61772129945611998</c:v>
                </c:pt>
                <c:pt idx="71">
                  <c:v>0.61009507308600974</c:v>
                </c:pt>
                <c:pt idx="72">
                  <c:v>0.60594704672178934</c:v>
                </c:pt>
                <c:pt idx="73">
                  <c:v>0.60205091303746427</c:v>
                </c:pt>
                <c:pt idx="74">
                  <c:v>0.5992155604975381</c:v>
                </c:pt>
                <c:pt idx="75">
                  <c:v>0.59818722886675857</c:v>
                </c:pt>
                <c:pt idx="76">
                  <c:v>0.59247772817714905</c:v>
                </c:pt>
                <c:pt idx="77">
                  <c:v>0.59190510778648897</c:v>
                </c:pt>
                <c:pt idx="78">
                  <c:v>0.5803884344010003</c:v>
                </c:pt>
                <c:pt idx="79">
                  <c:v>0.57457873039100404</c:v>
                </c:pt>
                <c:pt idx="80">
                  <c:v>0.5704128755751805</c:v>
                </c:pt>
                <c:pt idx="81">
                  <c:v>0.56806505147774056</c:v>
                </c:pt>
                <c:pt idx="82">
                  <c:v>0.56454969670203836</c:v>
                </c:pt>
                <c:pt idx="83">
                  <c:v>0.54317766958906655</c:v>
                </c:pt>
                <c:pt idx="84">
                  <c:v>0.54287581505019666</c:v>
                </c:pt>
                <c:pt idx="85">
                  <c:v>0.54005488902204202</c:v>
                </c:pt>
                <c:pt idx="86">
                  <c:v>0.53748801829012405</c:v>
                </c:pt>
                <c:pt idx="87">
                  <c:v>0.53193852289117383</c:v>
                </c:pt>
                <c:pt idx="88">
                  <c:v>0.52292157415738205</c:v>
                </c:pt>
                <c:pt idx="89">
                  <c:v>0.52031513675085606</c:v>
                </c:pt>
                <c:pt idx="90">
                  <c:v>0.51377730896191098</c:v>
                </c:pt>
                <c:pt idx="91">
                  <c:v>0.50769481983068188</c:v>
                </c:pt>
                <c:pt idx="92">
                  <c:v>0.49287137508227202</c:v>
                </c:pt>
                <c:pt idx="93">
                  <c:v>0.48668395099259354</c:v>
                </c:pt>
                <c:pt idx="94">
                  <c:v>0.47769041174146454</c:v>
                </c:pt>
                <c:pt idx="95">
                  <c:v>0.4772584027834551</c:v>
                </c:pt>
                <c:pt idx="96">
                  <c:v>0.47368067986504192</c:v>
                </c:pt>
                <c:pt idx="97">
                  <c:v>0.46607878528307339</c:v>
                </c:pt>
                <c:pt idx="98">
                  <c:v>0.46528041468758452</c:v>
                </c:pt>
                <c:pt idx="99">
                  <c:v>0.46029919711293366</c:v>
                </c:pt>
                <c:pt idx="100">
                  <c:v>0.45920824179557479</c:v>
                </c:pt>
                <c:pt idx="101">
                  <c:v>0.45916751505291681</c:v>
                </c:pt>
                <c:pt idx="102">
                  <c:v>0.4577014400552693</c:v>
                </c:pt>
                <c:pt idx="103">
                  <c:v>0.44662079359080831</c:v>
                </c:pt>
                <c:pt idx="104">
                  <c:v>0.44331669916774902</c:v>
                </c:pt>
                <c:pt idx="105">
                  <c:v>0.44302271732457454</c:v>
                </c:pt>
                <c:pt idx="106">
                  <c:v>0.44217507109131671</c:v>
                </c:pt>
                <c:pt idx="107">
                  <c:v>0.4409430220150381</c:v>
                </c:pt>
                <c:pt idx="108">
                  <c:v>0.43211719503641893</c:v>
                </c:pt>
                <c:pt idx="109">
                  <c:v>0.42987815376304023</c:v>
                </c:pt>
                <c:pt idx="110">
                  <c:v>0.42937348528399782</c:v>
                </c:pt>
                <c:pt idx="111">
                  <c:v>0.42741597586750146</c:v>
                </c:pt>
                <c:pt idx="112">
                  <c:v>0.42396766124351409</c:v>
                </c:pt>
                <c:pt idx="113">
                  <c:v>0.41905850187336302</c:v>
                </c:pt>
                <c:pt idx="114">
                  <c:v>0.41558120990916125</c:v>
                </c:pt>
                <c:pt idx="115">
                  <c:v>0.41275105993103756</c:v>
                </c:pt>
                <c:pt idx="116">
                  <c:v>0.41037229729094593</c:v>
                </c:pt>
                <c:pt idx="117">
                  <c:v>0.40801546802781691</c:v>
                </c:pt>
                <c:pt idx="118">
                  <c:v>0.40046586931646411</c:v>
                </c:pt>
                <c:pt idx="119">
                  <c:v>0.39249716581982075</c:v>
                </c:pt>
                <c:pt idx="120">
                  <c:v>0.39219198507504927</c:v>
                </c:pt>
                <c:pt idx="121">
                  <c:v>0.39028657876319006</c:v>
                </c:pt>
                <c:pt idx="122">
                  <c:v>0.38928510655689436</c:v>
                </c:pt>
                <c:pt idx="123">
                  <c:v>0.38322676794105348</c:v>
                </c:pt>
                <c:pt idx="124">
                  <c:v>0.37026583419843367</c:v>
                </c:pt>
                <c:pt idx="125">
                  <c:v>0.36931748792221808</c:v>
                </c:pt>
                <c:pt idx="126">
                  <c:v>0.3575751289822674</c:v>
                </c:pt>
                <c:pt idx="127">
                  <c:v>0.35715864730727087</c:v>
                </c:pt>
                <c:pt idx="128">
                  <c:v>0.35165482028977774</c:v>
                </c:pt>
                <c:pt idx="129">
                  <c:v>0.35163800690347735</c:v>
                </c:pt>
                <c:pt idx="130">
                  <c:v>0.3475063586183213</c:v>
                </c:pt>
                <c:pt idx="131">
                  <c:v>0.33290632886704069</c:v>
                </c:pt>
                <c:pt idx="132">
                  <c:v>0.33228286170804944</c:v>
                </c:pt>
                <c:pt idx="133">
                  <c:v>0.32712155380715791</c:v>
                </c:pt>
                <c:pt idx="134">
                  <c:v>0.32576058523969936</c:v>
                </c:pt>
                <c:pt idx="135">
                  <c:v>0.31810994336895398</c:v>
                </c:pt>
                <c:pt idx="136">
                  <c:v>0.3001595718217252</c:v>
                </c:pt>
                <c:pt idx="137">
                  <c:v>0.29374236720077634</c:v>
                </c:pt>
                <c:pt idx="138">
                  <c:v>0.29096754501538202</c:v>
                </c:pt>
                <c:pt idx="139">
                  <c:v>0.28290743421061904</c:v>
                </c:pt>
                <c:pt idx="140">
                  <c:v>0.27101418501303454</c:v>
                </c:pt>
                <c:pt idx="141">
                  <c:v>0.26811297131754475</c:v>
                </c:pt>
                <c:pt idx="142">
                  <c:v>0.26436465585419305</c:v>
                </c:pt>
                <c:pt idx="143">
                  <c:v>0.26341406296676334</c:v>
                </c:pt>
                <c:pt idx="144">
                  <c:v>0.26063238446812431</c:v>
                </c:pt>
                <c:pt idx="145">
                  <c:v>0.25654305020030516</c:v>
                </c:pt>
                <c:pt idx="146">
                  <c:v>0.25261115508026677</c:v>
                </c:pt>
                <c:pt idx="147">
                  <c:v>0.23976504283320091</c:v>
                </c:pt>
                <c:pt idx="148">
                  <c:v>0.23403214281778026</c:v>
                </c:pt>
                <c:pt idx="149">
                  <c:v>0.23034917083751369</c:v>
                </c:pt>
                <c:pt idx="150">
                  <c:v>0.22860539359079507</c:v>
                </c:pt>
                <c:pt idx="151">
                  <c:v>0.22586446564250828</c:v>
                </c:pt>
                <c:pt idx="152">
                  <c:v>0.22135668978725753</c:v>
                </c:pt>
                <c:pt idx="153">
                  <c:v>0.21983875757973029</c:v>
                </c:pt>
                <c:pt idx="154">
                  <c:v>0.21561109878735013</c:v>
                </c:pt>
                <c:pt idx="155">
                  <c:v>0.21435471769416301</c:v>
                </c:pt>
                <c:pt idx="156">
                  <c:v>0.21298073253011685</c:v>
                </c:pt>
                <c:pt idx="157">
                  <c:v>0.20484159891677481</c:v>
                </c:pt>
                <c:pt idx="158">
                  <c:v>0.2001182407034901</c:v>
                </c:pt>
                <c:pt idx="159">
                  <c:v>0.19716105517825813</c:v>
                </c:pt>
                <c:pt idx="160">
                  <c:v>0.18999925499593573</c:v>
                </c:pt>
                <c:pt idx="161">
                  <c:v>0.18684675271378071</c:v>
                </c:pt>
                <c:pt idx="162">
                  <c:v>0.1866178728169767</c:v>
                </c:pt>
                <c:pt idx="163">
                  <c:v>0.18607255405599657</c:v>
                </c:pt>
                <c:pt idx="164">
                  <c:v>0.18536989185665084</c:v>
                </c:pt>
                <c:pt idx="165">
                  <c:v>0.17564216556245177</c:v>
                </c:pt>
                <c:pt idx="166">
                  <c:v>0.17422648906419208</c:v>
                </c:pt>
                <c:pt idx="167">
                  <c:v>0.16355153458902283</c:v>
                </c:pt>
                <c:pt idx="168">
                  <c:v>0.16118088569543129</c:v>
                </c:pt>
                <c:pt idx="169">
                  <c:v>0.15958935804926852</c:v>
                </c:pt>
                <c:pt idx="170">
                  <c:v>0.15888614564731196</c:v>
                </c:pt>
                <c:pt idx="171">
                  <c:v>0.15605774800881533</c:v>
                </c:pt>
                <c:pt idx="172">
                  <c:v>0.1524676949676477</c:v>
                </c:pt>
                <c:pt idx="173">
                  <c:v>0.15081896489722885</c:v>
                </c:pt>
                <c:pt idx="174">
                  <c:v>0.14095540953533112</c:v>
                </c:pt>
                <c:pt idx="175">
                  <c:v>0.13789234424807331</c:v>
                </c:pt>
                <c:pt idx="176">
                  <c:v>0.13747000783000593</c:v>
                </c:pt>
                <c:pt idx="177">
                  <c:v>0.13704901615230974</c:v>
                </c:pt>
                <c:pt idx="178">
                  <c:v>0.13029090180922423</c:v>
                </c:pt>
                <c:pt idx="179">
                  <c:v>0.12823597875292497</c:v>
                </c:pt>
                <c:pt idx="180">
                  <c:v>0.12815578730290131</c:v>
                </c:pt>
                <c:pt idx="181">
                  <c:v>0.12802240853215585</c:v>
                </c:pt>
                <c:pt idx="182">
                  <c:v>0.11815160781301802</c:v>
                </c:pt>
                <c:pt idx="183">
                  <c:v>0.11205289150917298</c:v>
                </c:pt>
                <c:pt idx="184">
                  <c:v>0.11098306532852062</c:v>
                </c:pt>
                <c:pt idx="185">
                  <c:v>0.10676224269812461</c:v>
                </c:pt>
                <c:pt idx="186">
                  <c:v>0.10064409060595265</c:v>
                </c:pt>
                <c:pt idx="187">
                  <c:v>9.8992148448899919E-2</c:v>
                </c:pt>
                <c:pt idx="188">
                  <c:v>9.2971255219315624E-2</c:v>
                </c:pt>
                <c:pt idx="189">
                  <c:v>8.8582296666534832E-2</c:v>
                </c:pt>
                <c:pt idx="190">
                  <c:v>8.5583842842061511E-2</c:v>
                </c:pt>
                <c:pt idx="191">
                  <c:v>8.4190327492798339E-2</c:v>
                </c:pt>
                <c:pt idx="192">
                  <c:v>7.5024248088034165E-2</c:v>
                </c:pt>
                <c:pt idx="193">
                  <c:v>5.7869485784420534E-2</c:v>
                </c:pt>
                <c:pt idx="194">
                  <c:v>4.8849014628526859E-2</c:v>
                </c:pt>
                <c:pt idx="195">
                  <c:v>4.6031090730845728E-2</c:v>
                </c:pt>
                <c:pt idx="196">
                  <c:v>4.1312228600400208E-2</c:v>
                </c:pt>
                <c:pt idx="197">
                  <c:v>3.2721482535489441E-2</c:v>
                </c:pt>
                <c:pt idx="198">
                  <c:v>1.0400323742380558E-2</c:v>
                </c:pt>
                <c:pt idx="199">
                  <c:v>8.1460000017255889E-3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FD-45D4-9106-B57A70713E32}"/>
            </c:ext>
          </c:extLst>
        </c:ser>
        <c:ser>
          <c:idx val="1"/>
          <c:order val="1"/>
          <c:tx>
            <c:strRef>
              <c:f>'Int conf servizi'!$H$31</c:f>
              <c:strCache>
                <c:ptCount val="1"/>
                <c:pt idx="0">
                  <c:v>Limite inferiore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'Int conf servizi'!$J$38:$J$39</c:f>
              <c:numCache>
                <c:formatCode>General</c:formatCode>
                <c:ptCount val="2"/>
                <c:pt idx="0">
                  <c:v>0.86664273153040683</c:v>
                </c:pt>
                <c:pt idx="1">
                  <c:v>0.86664273153040683</c:v>
                </c:pt>
              </c:numCache>
            </c:numRef>
          </c:xVal>
          <c:yVal>
            <c:numRef>
              <c:f>'Int conf servizi'!$K$38:$K$39</c:f>
              <c:numCache>
                <c:formatCode>General</c:formatCode>
                <c:ptCount val="2"/>
                <c:pt idx="0">
                  <c:v>0</c:v>
                </c:pt>
                <c:pt idx="1">
                  <c:v>0.42036044577282039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FD-45D4-9106-B57A70713E32}"/>
            </c:ext>
          </c:extLst>
        </c:ser>
        <c:ser>
          <c:idx val="2"/>
          <c:order val="2"/>
          <c:tx>
            <c:strRef>
              <c:f>'Int conf servizi'!$H$32</c:f>
              <c:strCache>
                <c:ptCount val="1"/>
                <c:pt idx="0">
                  <c:v>Limite superiore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'Int conf servizi'!$L$38:$L$39</c:f>
              <c:numCache>
                <c:formatCode>General</c:formatCode>
                <c:ptCount val="2"/>
                <c:pt idx="0">
                  <c:v>1.094823515645837</c:v>
                </c:pt>
                <c:pt idx="1">
                  <c:v>1.094823515645837</c:v>
                </c:pt>
              </c:numCache>
            </c:numRef>
          </c:xVal>
          <c:yVal>
            <c:numRef>
              <c:f>'Int conf servizi'!$M$38:$M$39</c:f>
              <c:numCache>
                <c:formatCode>General</c:formatCode>
                <c:ptCount val="2"/>
                <c:pt idx="0">
                  <c:v>0</c:v>
                </c:pt>
                <c:pt idx="1">
                  <c:v>0.3345986531652953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FD-45D4-9106-B57A70713E32}"/>
            </c:ext>
          </c:extLst>
        </c:ser>
        <c:ser>
          <c:idx val="3"/>
          <c:order val="3"/>
          <c:tx>
            <c:strRef>
              <c:f>'Int conf servizi'!$M$31</c:f>
              <c:strCache>
                <c:ptCount val="1"/>
                <c:pt idx="0">
                  <c:v>Media teorica</c:v>
                </c:pt>
              </c:strCache>
            </c:strRef>
          </c:tx>
          <c:spPr>
            <a:ln w="19050" cap="rnd">
              <a:solidFill>
                <a:srgbClr val="FF0000">
                  <a:alpha val="99000"/>
                </a:srgbClr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0D0D"/>
              </a:solidFill>
              <a:ln w="9525">
                <a:solidFill>
                  <a:srgbClr val="FF0D0D"/>
                </a:solidFill>
              </a:ln>
              <a:effectLst/>
            </c:spPr>
          </c:marker>
          <c:xVal>
            <c:numRef>
              <c:f>'Int conf servizi'!$J$43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'Int conf servizi'!$K$43</c:f>
              <c:numCache>
                <c:formatCode>General</c:formatCode>
                <c:ptCount val="1"/>
                <c:pt idx="0">
                  <c:v>0.36787944117144233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FD-45D4-9106-B57A70713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476672"/>
        <c:axId val="1507537296"/>
      </c:scatterChart>
      <c:valAx>
        <c:axId val="117847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07537296"/>
        <c:crosses val="autoZero"/>
        <c:crossBetween val="midCat"/>
      </c:valAx>
      <c:valAx>
        <c:axId val="150753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78476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P-G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Correlazione!$B$3:$B$202</c:f>
              <c:numCache>
                <c:formatCode>General</c:formatCode>
                <c:ptCount val="200"/>
                <c:pt idx="0">
                  <c:v>0.43711520171939677</c:v>
                </c:pt>
                <c:pt idx="1">
                  <c:v>2.0052778044218393</c:v>
                </c:pt>
                <c:pt idx="2">
                  <c:v>1.7520521740613202</c:v>
                </c:pt>
                <c:pt idx="3">
                  <c:v>2.8020642130684905</c:v>
                </c:pt>
                <c:pt idx="4">
                  <c:v>0.72035772379527307</c:v>
                </c:pt>
                <c:pt idx="5">
                  <c:v>0.23432620694155346</c:v>
                </c:pt>
                <c:pt idx="6">
                  <c:v>0.9165582850391244</c:v>
                </c:pt>
                <c:pt idx="7">
                  <c:v>1.175957705009933</c:v>
                </c:pt>
                <c:pt idx="8">
                  <c:v>1.5564070688384215</c:v>
                </c:pt>
                <c:pt idx="9">
                  <c:v>0.53346178741536621</c:v>
                </c:pt>
                <c:pt idx="10">
                  <c:v>0.61431282058827419</c:v>
                </c:pt>
                <c:pt idx="11">
                  <c:v>1.8580216334432982</c:v>
                </c:pt>
                <c:pt idx="12">
                  <c:v>9.6958388053781486E-2</c:v>
                </c:pt>
                <c:pt idx="13">
                  <c:v>0.65752450077313007</c:v>
                </c:pt>
                <c:pt idx="14">
                  <c:v>1.5520756349051883</c:v>
                </c:pt>
                <c:pt idx="15">
                  <c:v>1.3402555674646139E-2</c:v>
                </c:pt>
                <c:pt idx="16">
                  <c:v>3.5534321138923302</c:v>
                </c:pt>
                <c:pt idx="17">
                  <c:v>0.13006031963243403</c:v>
                </c:pt>
                <c:pt idx="18">
                  <c:v>0.47759252182808487</c:v>
                </c:pt>
                <c:pt idx="19">
                  <c:v>0.7297231761350601</c:v>
                </c:pt>
                <c:pt idx="20">
                  <c:v>3.6321735688303884</c:v>
                </c:pt>
                <c:pt idx="21">
                  <c:v>0.59201303374234882</c:v>
                </c:pt>
                <c:pt idx="22">
                  <c:v>1.5813912778050025</c:v>
                </c:pt>
                <c:pt idx="23">
                  <c:v>0.19894015037996277</c:v>
                </c:pt>
                <c:pt idx="24">
                  <c:v>1.3377016743093204</c:v>
                </c:pt>
                <c:pt idx="25">
                  <c:v>0.66270388392557045</c:v>
                </c:pt>
                <c:pt idx="26">
                  <c:v>1.2629767812131345</c:v>
                </c:pt>
                <c:pt idx="27">
                  <c:v>1.4552289926474684</c:v>
                </c:pt>
                <c:pt idx="28">
                  <c:v>0.32404540900233986</c:v>
                </c:pt>
                <c:pt idx="29">
                  <c:v>2.449819120016588</c:v>
                </c:pt>
                <c:pt idx="30">
                  <c:v>0.72840613293362289</c:v>
                </c:pt>
                <c:pt idx="31">
                  <c:v>2.2657094926113501E-2</c:v>
                </c:pt>
                <c:pt idx="32">
                  <c:v>0.26726341171447365</c:v>
                </c:pt>
                <c:pt idx="33">
                  <c:v>0.19171801149732456</c:v>
                </c:pt>
                <c:pt idx="34">
                  <c:v>1.4202649578856954</c:v>
                </c:pt>
                <c:pt idx="35">
                  <c:v>0.77702191653927233</c:v>
                </c:pt>
                <c:pt idx="36">
                  <c:v>7.4353298936563741E-2</c:v>
                </c:pt>
                <c:pt idx="37">
                  <c:v>0.22501134677517304</c:v>
                </c:pt>
                <c:pt idx="38">
                  <c:v>1.2157931112469933</c:v>
                </c:pt>
                <c:pt idx="39">
                  <c:v>1.0279736943430557</c:v>
                </c:pt>
                <c:pt idx="40">
                  <c:v>4.1805189812423782</c:v>
                </c:pt>
                <c:pt idx="41">
                  <c:v>1.836282458246562</c:v>
                </c:pt>
                <c:pt idx="42">
                  <c:v>8.2496570356666396E-2</c:v>
                </c:pt>
                <c:pt idx="43">
                  <c:v>0.52271854262889073</c:v>
                </c:pt>
                <c:pt idx="44">
                  <c:v>6.6118654073616098E-2</c:v>
                </c:pt>
                <c:pt idx="45">
                  <c:v>0.12023859214679512</c:v>
                </c:pt>
                <c:pt idx="46">
                  <c:v>0.3897698308568322</c:v>
                </c:pt>
                <c:pt idx="47">
                  <c:v>2.220732939132867</c:v>
                </c:pt>
                <c:pt idx="48">
                  <c:v>0.3688079125299088</c:v>
                </c:pt>
                <c:pt idx="49">
                  <c:v>2.0811960252085346</c:v>
                </c:pt>
                <c:pt idx="50">
                  <c:v>0.21180365672261828</c:v>
                </c:pt>
                <c:pt idx="51">
                  <c:v>5.2772888618898728E-2</c:v>
                </c:pt>
                <c:pt idx="52">
                  <c:v>2.5274436709473944</c:v>
                </c:pt>
                <c:pt idx="53">
                  <c:v>0.66004373138093619</c:v>
                </c:pt>
                <c:pt idx="54">
                  <c:v>0.27888550012392554</c:v>
                </c:pt>
                <c:pt idx="55">
                  <c:v>1.9106489979271728</c:v>
                </c:pt>
                <c:pt idx="56">
                  <c:v>0.46542537260980577</c:v>
                </c:pt>
                <c:pt idx="57">
                  <c:v>0.83344459396899206</c:v>
                </c:pt>
                <c:pt idx="58">
                  <c:v>3.8346927374097799</c:v>
                </c:pt>
                <c:pt idx="59">
                  <c:v>1.2832330964914633</c:v>
                </c:pt>
                <c:pt idx="60">
                  <c:v>0.7817325218776574</c:v>
                </c:pt>
                <c:pt idx="61">
                  <c:v>0.70060514959203246</c:v>
                </c:pt>
                <c:pt idx="62">
                  <c:v>0.70560327147532431</c:v>
                </c:pt>
                <c:pt idx="63">
                  <c:v>0.71149232148600272</c:v>
                </c:pt>
                <c:pt idx="64">
                  <c:v>0.25606913695408884</c:v>
                </c:pt>
                <c:pt idx="65">
                  <c:v>2.8152244118326081E-2</c:v>
                </c:pt>
                <c:pt idx="66">
                  <c:v>0.11842034972443499</c:v>
                </c:pt>
                <c:pt idx="67">
                  <c:v>0.34830696026262231</c:v>
                </c:pt>
                <c:pt idx="68">
                  <c:v>0.91410828850898462</c:v>
                </c:pt>
                <c:pt idx="69">
                  <c:v>1.1649143220038309</c:v>
                </c:pt>
                <c:pt idx="70">
                  <c:v>1.2605645910279308</c:v>
                </c:pt>
                <c:pt idx="71">
                  <c:v>2.4077881567325243</c:v>
                </c:pt>
                <c:pt idx="72">
                  <c:v>0.80167553379484824</c:v>
                </c:pt>
                <c:pt idx="73">
                  <c:v>0.2104292594348435</c:v>
                </c:pt>
                <c:pt idx="74">
                  <c:v>1.0213291025228057</c:v>
                </c:pt>
                <c:pt idx="75">
                  <c:v>4.3502706881590836</c:v>
                </c:pt>
                <c:pt idx="76">
                  <c:v>1.2241964637705145</c:v>
                </c:pt>
                <c:pt idx="77">
                  <c:v>0.1330113530688751</c:v>
                </c:pt>
                <c:pt idx="78">
                  <c:v>1.7180638940260422</c:v>
                </c:pt>
                <c:pt idx="79">
                  <c:v>1.2343182826405044</c:v>
                </c:pt>
                <c:pt idx="80">
                  <c:v>0.27365943949820287</c:v>
                </c:pt>
                <c:pt idx="81">
                  <c:v>1.1077789376329787</c:v>
                </c:pt>
                <c:pt idx="82">
                  <c:v>0.37091526440150657</c:v>
                </c:pt>
                <c:pt idx="83">
                  <c:v>1.2814485888755647</c:v>
                </c:pt>
                <c:pt idx="84">
                  <c:v>0.21892699162343734</c:v>
                </c:pt>
                <c:pt idx="85">
                  <c:v>2.5281112307587335</c:v>
                </c:pt>
                <c:pt idx="86">
                  <c:v>0.24095409099424142</c:v>
                </c:pt>
                <c:pt idx="87">
                  <c:v>0.87543074012267041</c:v>
                </c:pt>
                <c:pt idx="88">
                  <c:v>0.73019766653051776</c:v>
                </c:pt>
                <c:pt idx="89">
                  <c:v>3.7764641805111791E-2</c:v>
                </c:pt>
                <c:pt idx="90">
                  <c:v>9.558816314030022E-2</c:v>
                </c:pt>
                <c:pt idx="91">
                  <c:v>0.26375317600066484</c:v>
                </c:pt>
                <c:pt idx="92">
                  <c:v>2.274996597129439</c:v>
                </c:pt>
                <c:pt idx="93">
                  <c:v>0.6440598247772209</c:v>
                </c:pt>
                <c:pt idx="94">
                  <c:v>0.43588569258785037</c:v>
                </c:pt>
                <c:pt idx="95">
                  <c:v>8.6992566377734545E-2</c:v>
                </c:pt>
                <c:pt idx="96">
                  <c:v>0.35300906672441734</c:v>
                </c:pt>
                <c:pt idx="97">
                  <c:v>0.10219410328396998</c:v>
                </c:pt>
                <c:pt idx="98">
                  <c:v>0.25320598011704198</c:v>
                </c:pt>
                <c:pt idx="99">
                  <c:v>0.5988211558562675</c:v>
                </c:pt>
                <c:pt idx="100">
                  <c:v>0.10556357188521032</c:v>
                </c:pt>
                <c:pt idx="101">
                  <c:v>0.51748495951662621</c:v>
                </c:pt>
                <c:pt idx="102">
                  <c:v>3.9166579973311699</c:v>
                </c:pt>
                <c:pt idx="103">
                  <c:v>2.0588212860945001</c:v>
                </c:pt>
                <c:pt idx="104">
                  <c:v>0.85145855074748922</c:v>
                </c:pt>
                <c:pt idx="105">
                  <c:v>0.27730378405561207</c:v>
                </c:pt>
                <c:pt idx="106">
                  <c:v>0.24063784085606291</c:v>
                </c:pt>
                <c:pt idx="107">
                  <c:v>3.8169170648023876</c:v>
                </c:pt>
                <c:pt idx="108">
                  <c:v>0.51667064654597727</c:v>
                </c:pt>
                <c:pt idx="109">
                  <c:v>0.90225274827326241</c:v>
                </c:pt>
                <c:pt idx="110">
                  <c:v>1.3763537260197494</c:v>
                </c:pt>
                <c:pt idx="111">
                  <c:v>0.20037401019527495</c:v>
                </c:pt>
                <c:pt idx="112">
                  <c:v>7.9741216213209815E-2</c:v>
                </c:pt>
                <c:pt idx="113">
                  <c:v>0.71369685929287052</c:v>
                </c:pt>
                <c:pt idx="114">
                  <c:v>8.7744523731098562E-2</c:v>
                </c:pt>
                <c:pt idx="115">
                  <c:v>0.17670851999109558</c:v>
                </c:pt>
                <c:pt idx="116">
                  <c:v>1.1260818639445278</c:v>
                </c:pt>
                <c:pt idx="117">
                  <c:v>2.2623422175130563</c:v>
                </c:pt>
                <c:pt idx="118">
                  <c:v>8.8353272608942643E-2</c:v>
                </c:pt>
                <c:pt idx="119">
                  <c:v>0.61785921110121966</c:v>
                </c:pt>
                <c:pt idx="120">
                  <c:v>0.17313008722332385</c:v>
                </c:pt>
                <c:pt idx="121">
                  <c:v>1.4578432614953794</c:v>
                </c:pt>
                <c:pt idx="122">
                  <c:v>1.127388653167537</c:v>
                </c:pt>
                <c:pt idx="123">
                  <c:v>0.76047806012031249</c:v>
                </c:pt>
                <c:pt idx="124">
                  <c:v>2.2137943349905598</c:v>
                </c:pt>
                <c:pt idx="125">
                  <c:v>0.26082957352582248</c:v>
                </c:pt>
                <c:pt idx="126">
                  <c:v>1.0359644147599509</c:v>
                </c:pt>
                <c:pt idx="127">
                  <c:v>2.5858800571522993</c:v>
                </c:pt>
                <c:pt idx="128">
                  <c:v>0.72834016147238978</c:v>
                </c:pt>
                <c:pt idx="129">
                  <c:v>0.94289754726593289</c:v>
                </c:pt>
                <c:pt idx="130">
                  <c:v>3.2399440915617466</c:v>
                </c:pt>
                <c:pt idx="131">
                  <c:v>0.50056173265441217</c:v>
                </c:pt>
                <c:pt idx="132">
                  <c:v>1.3111294299929785</c:v>
                </c:pt>
                <c:pt idx="133">
                  <c:v>1.2901565485317157</c:v>
                </c:pt>
                <c:pt idx="134">
                  <c:v>0.2899853092330596</c:v>
                </c:pt>
                <c:pt idx="135">
                  <c:v>0.399950257945141</c:v>
                </c:pt>
                <c:pt idx="136">
                  <c:v>0.94065012984737861</c:v>
                </c:pt>
                <c:pt idx="137">
                  <c:v>1.1262766280170775</c:v>
                </c:pt>
                <c:pt idx="138">
                  <c:v>8.9032487139011601E-2</c:v>
                </c:pt>
                <c:pt idx="139">
                  <c:v>0.2023840319719995</c:v>
                </c:pt>
                <c:pt idx="140">
                  <c:v>0.40879634005487719</c:v>
                </c:pt>
                <c:pt idx="141">
                  <c:v>2.3935201502071242</c:v>
                </c:pt>
                <c:pt idx="142">
                  <c:v>0.28968972046894992</c:v>
                </c:pt>
                <c:pt idx="143">
                  <c:v>0.47185397097008502</c:v>
                </c:pt>
                <c:pt idx="144">
                  <c:v>5.8776306547970052E-2</c:v>
                </c:pt>
                <c:pt idx="145">
                  <c:v>1.1622679649199559</c:v>
                </c:pt>
                <c:pt idx="146">
                  <c:v>1.855831068021025</c:v>
                </c:pt>
                <c:pt idx="147">
                  <c:v>1.126746976298868</c:v>
                </c:pt>
                <c:pt idx="148">
                  <c:v>3.8262254061781671</c:v>
                </c:pt>
                <c:pt idx="149">
                  <c:v>0.14133687333971268</c:v>
                </c:pt>
                <c:pt idx="150">
                  <c:v>0.37469804907454574</c:v>
                </c:pt>
                <c:pt idx="151">
                  <c:v>0.31976010030850505</c:v>
                </c:pt>
                <c:pt idx="152">
                  <c:v>1.5871599011545325</c:v>
                </c:pt>
                <c:pt idx="153">
                  <c:v>0.41120370987237548</c:v>
                </c:pt>
                <c:pt idx="154">
                  <c:v>0.63968445731044732</c:v>
                </c:pt>
                <c:pt idx="155">
                  <c:v>1.011265406403757</c:v>
                </c:pt>
                <c:pt idx="156">
                  <c:v>0.35122823983295082</c:v>
                </c:pt>
                <c:pt idx="157">
                  <c:v>0.62312916119580497</c:v>
                </c:pt>
                <c:pt idx="158">
                  <c:v>2.2951263452680344</c:v>
                </c:pt>
                <c:pt idx="159">
                  <c:v>0.80490276846550379</c:v>
                </c:pt>
                <c:pt idx="160">
                  <c:v>4.9166832772262978</c:v>
                </c:pt>
                <c:pt idx="161">
                  <c:v>0.46242019273676777</c:v>
                </c:pt>
                <c:pt idx="162">
                  <c:v>0.92939317824332379</c:v>
                </c:pt>
                <c:pt idx="163">
                  <c:v>4.487331803449876E-2</c:v>
                </c:pt>
                <c:pt idx="164">
                  <c:v>1.0589560413089414</c:v>
                </c:pt>
                <c:pt idx="165">
                  <c:v>1.7486511867757544</c:v>
                </c:pt>
                <c:pt idx="166">
                  <c:v>0.55178356963753783</c:v>
                </c:pt>
                <c:pt idx="167">
                  <c:v>1.5986125754324565</c:v>
                </c:pt>
                <c:pt idx="168">
                  <c:v>0.10606019859254461</c:v>
                </c:pt>
                <c:pt idx="169">
                  <c:v>0.27110051958542214</c:v>
                </c:pt>
                <c:pt idx="170">
                  <c:v>0.26329176872986038</c:v>
                </c:pt>
                <c:pt idx="171">
                  <c:v>2.2817995097989083</c:v>
                </c:pt>
                <c:pt idx="172">
                  <c:v>2.230638563366766</c:v>
                </c:pt>
                <c:pt idx="173">
                  <c:v>2.2315380856233755</c:v>
                </c:pt>
                <c:pt idx="174">
                  <c:v>0.90469311885429449</c:v>
                </c:pt>
                <c:pt idx="175">
                  <c:v>0.42531304976008122</c:v>
                </c:pt>
                <c:pt idx="176">
                  <c:v>0.76594698475653722</c:v>
                </c:pt>
                <c:pt idx="177">
                  <c:v>2.6103586373420287</c:v>
                </c:pt>
                <c:pt idx="178">
                  <c:v>0.75325763012294233</c:v>
                </c:pt>
                <c:pt idx="179">
                  <c:v>2.172346964554619</c:v>
                </c:pt>
                <c:pt idx="180">
                  <c:v>0.95648968088196462</c:v>
                </c:pt>
                <c:pt idx="181">
                  <c:v>5.7240182790369867E-2</c:v>
                </c:pt>
                <c:pt idx="182">
                  <c:v>2.1846382915478859</c:v>
                </c:pt>
                <c:pt idx="183">
                  <c:v>1.442930381999755</c:v>
                </c:pt>
                <c:pt idx="184">
                  <c:v>2.5567269991078745</c:v>
                </c:pt>
                <c:pt idx="185">
                  <c:v>0.87887959886578071</c:v>
                </c:pt>
                <c:pt idx="186">
                  <c:v>0.46236266150823857</c:v>
                </c:pt>
                <c:pt idx="187">
                  <c:v>0.57419388854387199</c:v>
                </c:pt>
                <c:pt idx="188">
                  <c:v>1.9511546520467089E-4</c:v>
                </c:pt>
                <c:pt idx="189">
                  <c:v>0.44023561286110252</c:v>
                </c:pt>
                <c:pt idx="190">
                  <c:v>0.29876094773523554</c:v>
                </c:pt>
                <c:pt idx="191">
                  <c:v>0.58443746950155062</c:v>
                </c:pt>
                <c:pt idx="192">
                  <c:v>5.0842471082502873E-3</c:v>
                </c:pt>
                <c:pt idx="193">
                  <c:v>0.40786081504181704</c:v>
                </c:pt>
                <c:pt idx="194">
                  <c:v>0.28569406207328885</c:v>
                </c:pt>
                <c:pt idx="195">
                  <c:v>0.73398006225489765</c:v>
                </c:pt>
                <c:pt idx="196">
                  <c:v>0.89374995548267366</c:v>
                </c:pt>
                <c:pt idx="197">
                  <c:v>2.4871901646338657</c:v>
                </c:pt>
                <c:pt idx="198">
                  <c:v>2.5914871103152293</c:v>
                </c:pt>
                <c:pt idx="199">
                  <c:v>6.1568280533355066</c:v>
                </c:pt>
              </c:numCache>
            </c:numRef>
          </c:xVal>
          <c:yVal>
            <c:numRef>
              <c:f>Correlazione!$D$3:$D$202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2.844112</c:v>
                </c:pt>
                <c:pt idx="6">
                  <c:v>2.7775509999999999</c:v>
                </c:pt>
                <c:pt idx="7">
                  <c:v>3.4932690000000002</c:v>
                </c:pt>
                <c:pt idx="8">
                  <c:v>2.3214670000000002</c:v>
                </c:pt>
                <c:pt idx="9">
                  <c:v>4.2118289999999998</c:v>
                </c:pt>
                <c:pt idx="10">
                  <c:v>3.7900489999999998</c:v>
                </c:pt>
                <c:pt idx="11">
                  <c:v>2.3538079999999999</c:v>
                </c:pt>
                <c:pt idx="12">
                  <c:v>5.1064150000000001</c:v>
                </c:pt>
                <c:pt idx="13">
                  <c:v>5.0592090000000001</c:v>
                </c:pt>
                <c:pt idx="14">
                  <c:v>4.8411619999999997</c:v>
                </c:pt>
                <c:pt idx="15">
                  <c:v>6.188218</c:v>
                </c:pt>
                <c:pt idx="16">
                  <c:v>3.2660130000000001</c:v>
                </c:pt>
                <c:pt idx="17">
                  <c:v>3.9174910000000001</c:v>
                </c:pt>
                <c:pt idx="18">
                  <c:v>3.9839560000000001</c:v>
                </c:pt>
                <c:pt idx="19">
                  <c:v>4.8397519999999998</c:v>
                </c:pt>
                <c:pt idx="20">
                  <c:v>2.2645499999999998</c:v>
                </c:pt>
                <c:pt idx="21">
                  <c:v>2.0589330000000001</c:v>
                </c:pt>
                <c:pt idx="22">
                  <c:v>0.73149799999999998</c:v>
                </c:pt>
                <c:pt idx="23">
                  <c:v>0.79409700000000005</c:v>
                </c:pt>
                <c:pt idx="24">
                  <c:v>0.48480499999999999</c:v>
                </c:pt>
                <c:pt idx="25">
                  <c:v>0.488066</c:v>
                </c:pt>
                <c:pt idx="26">
                  <c:v>9.4834000000000002E-2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2.352808</c:v>
                </c:pt>
                <c:pt idx="32">
                  <c:v>4.2743289999999998</c:v>
                </c:pt>
                <c:pt idx="33">
                  <c:v>5.6914579999999999</c:v>
                </c:pt>
                <c:pt idx="34">
                  <c:v>6.2586089999999999</c:v>
                </c:pt>
                <c:pt idx="35">
                  <c:v>7.3391159999999998</c:v>
                </c:pt>
                <c:pt idx="36">
                  <c:v>12.074991000000001</c:v>
                </c:pt>
                <c:pt idx="37">
                  <c:v>11.996608</c:v>
                </c:pt>
                <c:pt idx="38">
                  <c:v>11.346334000000001</c:v>
                </c:pt>
                <c:pt idx="39">
                  <c:v>11.979096</c:v>
                </c:pt>
                <c:pt idx="40">
                  <c:v>7.984534</c:v>
                </c:pt>
                <c:pt idx="41">
                  <c:v>6.7591270000000003</c:v>
                </c:pt>
                <c:pt idx="42">
                  <c:v>7.0837209999999997</c:v>
                </c:pt>
                <c:pt idx="43">
                  <c:v>8.3084019999999992</c:v>
                </c:pt>
                <c:pt idx="44">
                  <c:v>8.3196899999999996</c:v>
                </c:pt>
                <c:pt idx="45">
                  <c:v>8.7068650000000005</c:v>
                </c:pt>
                <c:pt idx="46">
                  <c:v>9.6929990000000004</c:v>
                </c:pt>
                <c:pt idx="47">
                  <c:v>7.9203570000000001</c:v>
                </c:pt>
                <c:pt idx="48">
                  <c:v>9.2908550000000005</c:v>
                </c:pt>
                <c:pt idx="49">
                  <c:v>7.4890169999999996</c:v>
                </c:pt>
                <c:pt idx="50">
                  <c:v>9.8671570000000006</c:v>
                </c:pt>
                <c:pt idx="51">
                  <c:v>10.216414</c:v>
                </c:pt>
                <c:pt idx="52">
                  <c:v>8.5332240000000006</c:v>
                </c:pt>
                <c:pt idx="53">
                  <c:v>8.4940289999999994</c:v>
                </c:pt>
                <c:pt idx="54">
                  <c:v>9.5314899999999998</c:v>
                </c:pt>
                <c:pt idx="55">
                  <c:v>8.2987160000000006</c:v>
                </c:pt>
                <c:pt idx="56">
                  <c:v>9.0367320000000007</c:v>
                </c:pt>
                <c:pt idx="57">
                  <c:v>9.6714459999999995</c:v>
                </c:pt>
                <c:pt idx="58">
                  <c:v>6.7727570000000004</c:v>
                </c:pt>
                <c:pt idx="59">
                  <c:v>5.9446279999999998</c:v>
                </c:pt>
                <c:pt idx="60">
                  <c:v>5.3073759999999996</c:v>
                </c:pt>
                <c:pt idx="61">
                  <c:v>5.4128170000000004</c:v>
                </c:pt>
                <c:pt idx="62">
                  <c:v>5.4855539999999996</c:v>
                </c:pt>
                <c:pt idx="63">
                  <c:v>5.0706600000000002</c:v>
                </c:pt>
                <c:pt idx="64">
                  <c:v>6.7958730000000003</c:v>
                </c:pt>
                <c:pt idx="65">
                  <c:v>7.0016090000000002</c:v>
                </c:pt>
                <c:pt idx="66">
                  <c:v>7.1533939999999996</c:v>
                </c:pt>
                <c:pt idx="67">
                  <c:v>7.926679</c:v>
                </c:pt>
                <c:pt idx="68">
                  <c:v>7.21488</c:v>
                </c:pt>
                <c:pt idx="69">
                  <c:v>6.2666339999999998</c:v>
                </c:pt>
                <c:pt idx="70">
                  <c:v>5.7448620000000004</c:v>
                </c:pt>
                <c:pt idx="71">
                  <c:v>3.9087999999999998</c:v>
                </c:pt>
                <c:pt idx="72">
                  <c:v>5.4198399999999998</c:v>
                </c:pt>
                <c:pt idx="73">
                  <c:v>6.0874879999999996</c:v>
                </c:pt>
                <c:pt idx="74">
                  <c:v>6.4942539999999997</c:v>
                </c:pt>
                <c:pt idx="75">
                  <c:v>2.236691</c:v>
                </c:pt>
                <c:pt idx="76">
                  <c:v>2.4882520000000001</c:v>
                </c:pt>
                <c:pt idx="77">
                  <c:v>2.856204</c:v>
                </c:pt>
                <c:pt idx="78">
                  <c:v>1.534367</c:v>
                </c:pt>
                <c:pt idx="79">
                  <c:v>1.4454070000000001</c:v>
                </c:pt>
                <c:pt idx="80">
                  <c:v>2.2891710000000001</c:v>
                </c:pt>
                <c:pt idx="81">
                  <c:v>1.24004</c:v>
                </c:pt>
                <c:pt idx="82">
                  <c:v>1.191649</c:v>
                </c:pt>
                <c:pt idx="83">
                  <c:v>1.9640839999999999</c:v>
                </c:pt>
                <c:pt idx="84">
                  <c:v>1.918258</c:v>
                </c:pt>
                <c:pt idx="85">
                  <c:v>9.7654000000000005E-2</c:v>
                </c:pt>
                <c:pt idx="86">
                  <c:v>0.75314999999999999</c:v>
                </c:pt>
                <c:pt idx="87">
                  <c:v>0.76263000000000003</c:v>
                </c:pt>
                <c:pt idx="88">
                  <c:v>1.134201</c:v>
                </c:pt>
                <c:pt idx="89">
                  <c:v>1.71252</c:v>
                </c:pt>
                <c:pt idx="90">
                  <c:v>3.427559</c:v>
                </c:pt>
                <c:pt idx="91">
                  <c:v>4.8454249999999996</c:v>
                </c:pt>
                <c:pt idx="92">
                  <c:v>2.8294899999999998</c:v>
                </c:pt>
                <c:pt idx="93">
                  <c:v>4.4225810000000001</c:v>
                </c:pt>
                <c:pt idx="94">
                  <c:v>4.9827940000000002</c:v>
                </c:pt>
                <c:pt idx="95">
                  <c:v>6.2013860000000003</c:v>
                </c:pt>
                <c:pt idx="96">
                  <c:v>6.0442220000000004</c:v>
                </c:pt>
                <c:pt idx="97">
                  <c:v>7.7815950000000003</c:v>
                </c:pt>
                <c:pt idx="98">
                  <c:v>9.5127389999999998</c:v>
                </c:pt>
                <c:pt idx="99">
                  <c:v>9.7299670000000003</c:v>
                </c:pt>
                <c:pt idx="100">
                  <c:v>11.822781000000001</c:v>
                </c:pt>
                <c:pt idx="101">
                  <c:v>11.671872</c:v>
                </c:pt>
                <c:pt idx="102">
                  <c:v>8.5310930000000003</c:v>
                </c:pt>
                <c:pt idx="103">
                  <c:v>6.9022019999999999</c:v>
                </c:pt>
                <c:pt idx="104">
                  <c:v>6.7904410000000004</c:v>
                </c:pt>
                <c:pt idx="105">
                  <c:v>7.4565799999999998</c:v>
                </c:pt>
                <c:pt idx="106">
                  <c:v>7.4962099999999996</c:v>
                </c:pt>
                <c:pt idx="107">
                  <c:v>3.816287</c:v>
                </c:pt>
                <c:pt idx="108">
                  <c:v>3.5730390000000001</c:v>
                </c:pt>
                <c:pt idx="109">
                  <c:v>4.725295</c:v>
                </c:pt>
                <c:pt idx="110">
                  <c:v>7.9148589999999999</c:v>
                </c:pt>
                <c:pt idx="111">
                  <c:v>9.770035</c:v>
                </c:pt>
                <c:pt idx="112">
                  <c:v>11.571096000000001</c:v>
                </c:pt>
                <c:pt idx="113">
                  <c:v>12.403953</c:v>
                </c:pt>
                <c:pt idx="114">
                  <c:v>14.001611</c:v>
                </c:pt>
                <c:pt idx="115">
                  <c:v>14.588303</c:v>
                </c:pt>
                <c:pt idx="116">
                  <c:v>13.724971</c:v>
                </c:pt>
                <c:pt idx="117">
                  <c:v>11.938573999999999</c:v>
                </c:pt>
                <c:pt idx="118">
                  <c:v>13.809532000000001</c:v>
                </c:pt>
                <c:pt idx="119">
                  <c:v>13.279894000000001</c:v>
                </c:pt>
                <c:pt idx="120">
                  <c:v>14.151869</c:v>
                </c:pt>
                <c:pt idx="121">
                  <c:v>13.539453999999999</c:v>
                </c:pt>
                <c:pt idx="122">
                  <c:v>13.230905</c:v>
                </c:pt>
                <c:pt idx="123">
                  <c:v>13.695479000000001</c:v>
                </c:pt>
                <c:pt idx="124">
                  <c:v>14.668282</c:v>
                </c:pt>
                <c:pt idx="125">
                  <c:v>16.086144000000001</c:v>
                </c:pt>
                <c:pt idx="126">
                  <c:v>15.443168</c:v>
                </c:pt>
                <c:pt idx="127">
                  <c:v>13.635539</c:v>
                </c:pt>
                <c:pt idx="128">
                  <c:v>13.401339999999999</c:v>
                </c:pt>
                <c:pt idx="129">
                  <c:v>12.881817</c:v>
                </c:pt>
                <c:pt idx="130">
                  <c:v>9.9948490000000003</c:v>
                </c:pt>
                <c:pt idx="131">
                  <c:v>10.006422000000001</c:v>
                </c:pt>
                <c:pt idx="132">
                  <c:v>10.229571</c:v>
                </c:pt>
                <c:pt idx="133">
                  <c:v>9.6595549999999992</c:v>
                </c:pt>
                <c:pt idx="134">
                  <c:v>9.7168170000000007</c:v>
                </c:pt>
                <c:pt idx="135">
                  <c:v>9.6495270000000009</c:v>
                </c:pt>
                <c:pt idx="136">
                  <c:v>10.161173</c:v>
                </c:pt>
                <c:pt idx="137">
                  <c:v>9.6882169999999999</c:v>
                </c:pt>
                <c:pt idx="138">
                  <c:v>10.833728000000001</c:v>
                </c:pt>
                <c:pt idx="139">
                  <c:v>11.113061999999999</c:v>
                </c:pt>
                <c:pt idx="140">
                  <c:v>13.000431000000001</c:v>
                </c:pt>
                <c:pt idx="141">
                  <c:v>11.445969</c:v>
                </c:pt>
                <c:pt idx="142">
                  <c:v>11.464145</c:v>
                </c:pt>
                <c:pt idx="143">
                  <c:v>11.390025</c:v>
                </c:pt>
                <c:pt idx="144">
                  <c:v>12.221939000000001</c:v>
                </c:pt>
                <c:pt idx="145">
                  <c:v>11.824786</c:v>
                </c:pt>
                <c:pt idx="146">
                  <c:v>12.00694</c:v>
                </c:pt>
                <c:pt idx="147">
                  <c:v>11.067646999999999</c:v>
                </c:pt>
                <c:pt idx="148">
                  <c:v>10.661144999999999</c:v>
                </c:pt>
                <c:pt idx="149">
                  <c:v>12.994483000000001</c:v>
                </c:pt>
                <c:pt idx="150">
                  <c:v>13.649361000000001</c:v>
                </c:pt>
                <c:pt idx="151">
                  <c:v>14.817421</c:v>
                </c:pt>
                <c:pt idx="152">
                  <c:v>13.391347</c:v>
                </c:pt>
                <c:pt idx="153">
                  <c:v>13.504552</c:v>
                </c:pt>
                <c:pt idx="154">
                  <c:v>13.092393</c:v>
                </c:pt>
                <c:pt idx="155">
                  <c:v>12.894598</c:v>
                </c:pt>
                <c:pt idx="156">
                  <c:v>12.603664</c:v>
                </c:pt>
                <c:pt idx="157">
                  <c:v>12.070136</c:v>
                </c:pt>
                <c:pt idx="158">
                  <c:v>10.288862</c:v>
                </c:pt>
                <c:pt idx="159">
                  <c:v>10.746594</c:v>
                </c:pt>
                <c:pt idx="160">
                  <c:v>6.7450380000000001</c:v>
                </c:pt>
                <c:pt idx="161">
                  <c:v>6.8367360000000001</c:v>
                </c:pt>
                <c:pt idx="162">
                  <c:v>8.9263639999999995</c:v>
                </c:pt>
                <c:pt idx="163">
                  <c:v>8.9754149999999999</c:v>
                </c:pt>
                <c:pt idx="164">
                  <c:v>7.9683330000000003</c:v>
                </c:pt>
                <c:pt idx="165">
                  <c:v>6.3123370000000003</c:v>
                </c:pt>
                <c:pt idx="166">
                  <c:v>5.9610830000000004</c:v>
                </c:pt>
                <c:pt idx="167">
                  <c:v>4.8381660000000002</c:v>
                </c:pt>
                <c:pt idx="168">
                  <c:v>5.4793269999999996</c:v>
                </c:pt>
                <c:pt idx="169">
                  <c:v>7.3440130000000003</c:v>
                </c:pt>
                <c:pt idx="170">
                  <c:v>7.2148839999999996</c:v>
                </c:pt>
                <c:pt idx="171">
                  <c:v>5.4565270000000003</c:v>
                </c:pt>
                <c:pt idx="172">
                  <c:v>3.6535009999999999</c:v>
                </c:pt>
                <c:pt idx="173">
                  <c:v>3.0456970000000001</c:v>
                </c:pt>
                <c:pt idx="174">
                  <c:v>3.9662320000000002</c:v>
                </c:pt>
                <c:pt idx="175">
                  <c:v>3.7580110000000002</c:v>
                </c:pt>
                <c:pt idx="176">
                  <c:v>4.5069249999999998</c:v>
                </c:pt>
                <c:pt idx="177">
                  <c:v>2.1241949999999998</c:v>
                </c:pt>
                <c:pt idx="178">
                  <c:v>1.9323319999999999</c:v>
                </c:pt>
                <c:pt idx="179">
                  <c:v>0.75351900000000005</c:v>
                </c:pt>
                <c:pt idx="180">
                  <c:v>0.84218199999999999</c:v>
                </c:pt>
                <c:pt idx="181">
                  <c:v>1.725816</c:v>
                </c:pt>
                <c:pt idx="182">
                  <c:v>1.0813010000000001</c:v>
                </c:pt>
                <c:pt idx="183">
                  <c:v>7.6410000000000006E-2</c:v>
                </c:pt>
                <c:pt idx="184">
                  <c:v>0</c:v>
                </c:pt>
                <c:pt idx="185">
                  <c:v>0.62909999999999999</c:v>
                </c:pt>
                <c:pt idx="186">
                  <c:v>1.844204</c:v>
                </c:pt>
                <c:pt idx="187">
                  <c:v>1.497695</c:v>
                </c:pt>
                <c:pt idx="188">
                  <c:v>1.6743110000000001</c:v>
                </c:pt>
                <c:pt idx="189">
                  <c:v>2.1693009999999999</c:v>
                </c:pt>
                <c:pt idx="190">
                  <c:v>2.2631619999999999</c:v>
                </c:pt>
                <c:pt idx="191">
                  <c:v>1.8615660000000001</c:v>
                </c:pt>
                <c:pt idx="192">
                  <c:v>2.3279049999999999</c:v>
                </c:pt>
                <c:pt idx="193">
                  <c:v>3.25047</c:v>
                </c:pt>
                <c:pt idx="194">
                  <c:v>3.9239039999999998</c:v>
                </c:pt>
                <c:pt idx="195">
                  <c:v>4.0480219999999996</c:v>
                </c:pt>
                <c:pt idx="196">
                  <c:v>5.6125309999999997</c:v>
                </c:pt>
                <c:pt idx="197">
                  <c:v>3.3765040000000002</c:v>
                </c:pt>
                <c:pt idx="198">
                  <c:v>2.6201680000000001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2F-47D2-B683-5CAA980F4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89487"/>
        <c:axId val="2136100815"/>
      </c:scatterChart>
      <c:valAx>
        <c:axId val="279589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6100815"/>
        <c:crosses val="autoZero"/>
        <c:crossBetween val="midCat"/>
      </c:valAx>
      <c:valAx>
        <c:axId val="213610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589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P-V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Correlazione!$B$3:$B$202</c:f>
              <c:numCache>
                <c:formatCode>General</c:formatCode>
                <c:ptCount val="200"/>
                <c:pt idx="0">
                  <c:v>0.43711520171939677</c:v>
                </c:pt>
                <c:pt idx="1">
                  <c:v>2.0052778044218393</c:v>
                </c:pt>
                <c:pt idx="2">
                  <c:v>1.7520521740613202</c:v>
                </c:pt>
                <c:pt idx="3">
                  <c:v>2.8020642130684905</c:v>
                </c:pt>
                <c:pt idx="4">
                  <c:v>0.72035772379527307</c:v>
                </c:pt>
                <c:pt idx="5">
                  <c:v>0.23432620694155346</c:v>
                </c:pt>
                <c:pt idx="6">
                  <c:v>0.9165582850391244</c:v>
                </c:pt>
                <c:pt idx="7">
                  <c:v>1.175957705009933</c:v>
                </c:pt>
                <c:pt idx="8">
                  <c:v>1.5564070688384215</c:v>
                </c:pt>
                <c:pt idx="9">
                  <c:v>0.53346178741536621</c:v>
                </c:pt>
                <c:pt idx="10">
                  <c:v>0.61431282058827419</c:v>
                </c:pt>
                <c:pt idx="11">
                  <c:v>1.8580216334432982</c:v>
                </c:pt>
                <c:pt idx="12">
                  <c:v>9.6958388053781486E-2</c:v>
                </c:pt>
                <c:pt idx="13">
                  <c:v>0.65752450077313007</c:v>
                </c:pt>
                <c:pt idx="14">
                  <c:v>1.5520756349051883</c:v>
                </c:pt>
                <c:pt idx="15">
                  <c:v>1.3402555674646139E-2</c:v>
                </c:pt>
                <c:pt idx="16">
                  <c:v>3.5534321138923302</c:v>
                </c:pt>
                <c:pt idx="17">
                  <c:v>0.13006031963243403</c:v>
                </c:pt>
                <c:pt idx="18">
                  <c:v>0.47759252182808487</c:v>
                </c:pt>
                <c:pt idx="19">
                  <c:v>0.7297231761350601</c:v>
                </c:pt>
                <c:pt idx="20">
                  <c:v>3.6321735688303884</c:v>
                </c:pt>
                <c:pt idx="21">
                  <c:v>0.59201303374234882</c:v>
                </c:pt>
                <c:pt idx="22">
                  <c:v>1.5813912778050025</c:v>
                </c:pt>
                <c:pt idx="23">
                  <c:v>0.19894015037996277</c:v>
                </c:pt>
                <c:pt idx="24">
                  <c:v>1.3377016743093204</c:v>
                </c:pt>
                <c:pt idx="25">
                  <c:v>0.66270388392557045</c:v>
                </c:pt>
                <c:pt idx="26">
                  <c:v>1.2629767812131345</c:v>
                </c:pt>
                <c:pt idx="27">
                  <c:v>1.4552289926474684</c:v>
                </c:pt>
                <c:pt idx="28">
                  <c:v>0.32404540900233986</c:v>
                </c:pt>
                <c:pt idx="29">
                  <c:v>2.449819120016588</c:v>
                </c:pt>
                <c:pt idx="30">
                  <c:v>0.72840613293362289</c:v>
                </c:pt>
                <c:pt idx="31">
                  <c:v>2.2657094926113501E-2</c:v>
                </c:pt>
                <c:pt idx="32">
                  <c:v>0.26726341171447365</c:v>
                </c:pt>
                <c:pt idx="33">
                  <c:v>0.19171801149732456</c:v>
                </c:pt>
                <c:pt idx="34">
                  <c:v>1.4202649578856954</c:v>
                </c:pt>
                <c:pt idx="35">
                  <c:v>0.77702191653927233</c:v>
                </c:pt>
                <c:pt idx="36">
                  <c:v>7.4353298936563741E-2</c:v>
                </c:pt>
                <c:pt idx="37">
                  <c:v>0.22501134677517304</c:v>
                </c:pt>
                <c:pt idx="38">
                  <c:v>1.2157931112469933</c:v>
                </c:pt>
                <c:pt idx="39">
                  <c:v>1.0279736943430557</c:v>
                </c:pt>
                <c:pt idx="40">
                  <c:v>4.1805189812423782</c:v>
                </c:pt>
                <c:pt idx="41">
                  <c:v>1.836282458246562</c:v>
                </c:pt>
                <c:pt idx="42">
                  <c:v>8.2496570356666396E-2</c:v>
                </c:pt>
                <c:pt idx="43">
                  <c:v>0.52271854262889073</c:v>
                </c:pt>
                <c:pt idx="44">
                  <c:v>6.6118654073616098E-2</c:v>
                </c:pt>
                <c:pt idx="45">
                  <c:v>0.12023859214679512</c:v>
                </c:pt>
                <c:pt idx="46">
                  <c:v>0.3897698308568322</c:v>
                </c:pt>
                <c:pt idx="47">
                  <c:v>2.220732939132867</c:v>
                </c:pt>
                <c:pt idx="48">
                  <c:v>0.3688079125299088</c:v>
                </c:pt>
                <c:pt idx="49">
                  <c:v>2.0811960252085346</c:v>
                </c:pt>
                <c:pt idx="50">
                  <c:v>0.21180365672261828</c:v>
                </c:pt>
                <c:pt idx="51">
                  <c:v>5.2772888618898728E-2</c:v>
                </c:pt>
                <c:pt idx="52">
                  <c:v>2.5274436709473944</c:v>
                </c:pt>
                <c:pt idx="53">
                  <c:v>0.66004373138093619</c:v>
                </c:pt>
                <c:pt idx="54">
                  <c:v>0.27888550012392554</c:v>
                </c:pt>
                <c:pt idx="55">
                  <c:v>1.9106489979271728</c:v>
                </c:pt>
                <c:pt idx="56">
                  <c:v>0.46542537260980577</c:v>
                </c:pt>
                <c:pt idx="57">
                  <c:v>0.83344459396899206</c:v>
                </c:pt>
                <c:pt idx="58">
                  <c:v>3.8346927374097799</c:v>
                </c:pt>
                <c:pt idx="59">
                  <c:v>1.2832330964914633</c:v>
                </c:pt>
                <c:pt idx="60">
                  <c:v>0.7817325218776574</c:v>
                </c:pt>
                <c:pt idx="61">
                  <c:v>0.70060514959203246</c:v>
                </c:pt>
                <c:pt idx="62">
                  <c:v>0.70560327147532431</c:v>
                </c:pt>
                <c:pt idx="63">
                  <c:v>0.71149232148600272</c:v>
                </c:pt>
                <c:pt idx="64">
                  <c:v>0.25606913695408884</c:v>
                </c:pt>
                <c:pt idx="65">
                  <c:v>2.8152244118326081E-2</c:v>
                </c:pt>
                <c:pt idx="66">
                  <c:v>0.11842034972443499</c:v>
                </c:pt>
                <c:pt idx="67">
                  <c:v>0.34830696026262231</c:v>
                </c:pt>
                <c:pt idx="68">
                  <c:v>0.91410828850898462</c:v>
                </c:pt>
                <c:pt idx="69">
                  <c:v>1.1649143220038309</c:v>
                </c:pt>
                <c:pt idx="70">
                  <c:v>1.2605645910279308</c:v>
                </c:pt>
                <c:pt idx="71">
                  <c:v>2.4077881567325243</c:v>
                </c:pt>
                <c:pt idx="72">
                  <c:v>0.80167553379484824</c:v>
                </c:pt>
                <c:pt idx="73">
                  <c:v>0.2104292594348435</c:v>
                </c:pt>
                <c:pt idx="74">
                  <c:v>1.0213291025228057</c:v>
                </c:pt>
                <c:pt idx="75">
                  <c:v>4.3502706881590836</c:v>
                </c:pt>
                <c:pt idx="76">
                  <c:v>1.2241964637705145</c:v>
                </c:pt>
                <c:pt idx="77">
                  <c:v>0.1330113530688751</c:v>
                </c:pt>
                <c:pt idx="78">
                  <c:v>1.7180638940260422</c:v>
                </c:pt>
                <c:pt idx="79">
                  <c:v>1.2343182826405044</c:v>
                </c:pt>
                <c:pt idx="80">
                  <c:v>0.27365943949820287</c:v>
                </c:pt>
                <c:pt idx="81">
                  <c:v>1.1077789376329787</c:v>
                </c:pt>
                <c:pt idx="82">
                  <c:v>0.37091526440150657</c:v>
                </c:pt>
                <c:pt idx="83">
                  <c:v>1.2814485888755647</c:v>
                </c:pt>
                <c:pt idx="84">
                  <c:v>0.21892699162343734</c:v>
                </c:pt>
                <c:pt idx="85">
                  <c:v>2.5281112307587335</c:v>
                </c:pt>
                <c:pt idx="86">
                  <c:v>0.24095409099424142</c:v>
                </c:pt>
                <c:pt idx="87">
                  <c:v>0.87543074012267041</c:v>
                </c:pt>
                <c:pt idx="88">
                  <c:v>0.73019766653051776</c:v>
                </c:pt>
                <c:pt idx="89">
                  <c:v>3.7764641805111791E-2</c:v>
                </c:pt>
                <c:pt idx="90">
                  <c:v>9.558816314030022E-2</c:v>
                </c:pt>
                <c:pt idx="91">
                  <c:v>0.26375317600066484</c:v>
                </c:pt>
                <c:pt idx="92">
                  <c:v>2.274996597129439</c:v>
                </c:pt>
                <c:pt idx="93">
                  <c:v>0.6440598247772209</c:v>
                </c:pt>
                <c:pt idx="94">
                  <c:v>0.43588569258785037</c:v>
                </c:pt>
                <c:pt idx="95">
                  <c:v>8.6992566377734545E-2</c:v>
                </c:pt>
                <c:pt idx="96">
                  <c:v>0.35300906672441734</c:v>
                </c:pt>
                <c:pt idx="97">
                  <c:v>0.10219410328396998</c:v>
                </c:pt>
                <c:pt idx="98">
                  <c:v>0.25320598011704198</c:v>
                </c:pt>
                <c:pt idx="99">
                  <c:v>0.5988211558562675</c:v>
                </c:pt>
                <c:pt idx="100">
                  <c:v>0.10556357188521032</c:v>
                </c:pt>
                <c:pt idx="101">
                  <c:v>0.51748495951662621</c:v>
                </c:pt>
                <c:pt idx="102">
                  <c:v>3.9166579973311699</c:v>
                </c:pt>
                <c:pt idx="103">
                  <c:v>2.0588212860945001</c:v>
                </c:pt>
                <c:pt idx="104">
                  <c:v>0.85145855074748922</c:v>
                </c:pt>
                <c:pt idx="105">
                  <c:v>0.27730378405561207</c:v>
                </c:pt>
                <c:pt idx="106">
                  <c:v>0.24063784085606291</c:v>
                </c:pt>
                <c:pt idx="107">
                  <c:v>3.8169170648023876</c:v>
                </c:pt>
                <c:pt idx="108">
                  <c:v>0.51667064654597727</c:v>
                </c:pt>
                <c:pt idx="109">
                  <c:v>0.90225274827326241</c:v>
                </c:pt>
                <c:pt idx="110">
                  <c:v>1.3763537260197494</c:v>
                </c:pt>
                <c:pt idx="111">
                  <c:v>0.20037401019527495</c:v>
                </c:pt>
                <c:pt idx="112">
                  <c:v>7.9741216213209815E-2</c:v>
                </c:pt>
                <c:pt idx="113">
                  <c:v>0.71369685929287052</c:v>
                </c:pt>
                <c:pt idx="114">
                  <c:v>8.7744523731098562E-2</c:v>
                </c:pt>
                <c:pt idx="115">
                  <c:v>0.17670851999109558</c:v>
                </c:pt>
                <c:pt idx="116">
                  <c:v>1.1260818639445278</c:v>
                </c:pt>
                <c:pt idx="117">
                  <c:v>2.2623422175130563</c:v>
                </c:pt>
                <c:pt idx="118">
                  <c:v>8.8353272608942643E-2</c:v>
                </c:pt>
                <c:pt idx="119">
                  <c:v>0.61785921110121966</c:v>
                </c:pt>
                <c:pt idx="120">
                  <c:v>0.17313008722332385</c:v>
                </c:pt>
                <c:pt idx="121">
                  <c:v>1.4578432614953794</c:v>
                </c:pt>
                <c:pt idx="122">
                  <c:v>1.127388653167537</c:v>
                </c:pt>
                <c:pt idx="123">
                  <c:v>0.76047806012031249</c:v>
                </c:pt>
                <c:pt idx="124">
                  <c:v>2.2137943349905598</c:v>
                </c:pt>
                <c:pt idx="125">
                  <c:v>0.26082957352582248</c:v>
                </c:pt>
                <c:pt idx="126">
                  <c:v>1.0359644147599509</c:v>
                </c:pt>
                <c:pt idx="127">
                  <c:v>2.5858800571522993</c:v>
                </c:pt>
                <c:pt idx="128">
                  <c:v>0.72834016147238978</c:v>
                </c:pt>
                <c:pt idx="129">
                  <c:v>0.94289754726593289</c:v>
                </c:pt>
                <c:pt idx="130">
                  <c:v>3.2399440915617466</c:v>
                </c:pt>
                <c:pt idx="131">
                  <c:v>0.50056173265441217</c:v>
                </c:pt>
                <c:pt idx="132">
                  <c:v>1.3111294299929785</c:v>
                </c:pt>
                <c:pt idx="133">
                  <c:v>1.2901565485317157</c:v>
                </c:pt>
                <c:pt idx="134">
                  <c:v>0.2899853092330596</c:v>
                </c:pt>
                <c:pt idx="135">
                  <c:v>0.399950257945141</c:v>
                </c:pt>
                <c:pt idx="136">
                  <c:v>0.94065012984737861</c:v>
                </c:pt>
                <c:pt idx="137">
                  <c:v>1.1262766280170775</c:v>
                </c:pt>
                <c:pt idx="138">
                  <c:v>8.9032487139011601E-2</c:v>
                </c:pt>
                <c:pt idx="139">
                  <c:v>0.2023840319719995</c:v>
                </c:pt>
                <c:pt idx="140">
                  <c:v>0.40879634005487719</c:v>
                </c:pt>
                <c:pt idx="141">
                  <c:v>2.3935201502071242</c:v>
                </c:pt>
                <c:pt idx="142">
                  <c:v>0.28968972046894992</c:v>
                </c:pt>
                <c:pt idx="143">
                  <c:v>0.47185397097008502</c:v>
                </c:pt>
                <c:pt idx="144">
                  <c:v>5.8776306547970052E-2</c:v>
                </c:pt>
                <c:pt idx="145">
                  <c:v>1.1622679649199559</c:v>
                </c:pt>
                <c:pt idx="146">
                  <c:v>1.855831068021025</c:v>
                </c:pt>
                <c:pt idx="147">
                  <c:v>1.126746976298868</c:v>
                </c:pt>
                <c:pt idx="148">
                  <c:v>3.8262254061781671</c:v>
                </c:pt>
                <c:pt idx="149">
                  <c:v>0.14133687333971268</c:v>
                </c:pt>
                <c:pt idx="150">
                  <c:v>0.37469804907454574</c:v>
                </c:pt>
                <c:pt idx="151">
                  <c:v>0.31976010030850505</c:v>
                </c:pt>
                <c:pt idx="152">
                  <c:v>1.5871599011545325</c:v>
                </c:pt>
                <c:pt idx="153">
                  <c:v>0.41120370987237548</c:v>
                </c:pt>
                <c:pt idx="154">
                  <c:v>0.63968445731044732</c:v>
                </c:pt>
                <c:pt idx="155">
                  <c:v>1.011265406403757</c:v>
                </c:pt>
                <c:pt idx="156">
                  <c:v>0.35122823983295082</c:v>
                </c:pt>
                <c:pt idx="157">
                  <c:v>0.62312916119580497</c:v>
                </c:pt>
                <c:pt idx="158">
                  <c:v>2.2951263452680344</c:v>
                </c:pt>
                <c:pt idx="159">
                  <c:v>0.80490276846550379</c:v>
                </c:pt>
                <c:pt idx="160">
                  <c:v>4.9166832772262978</c:v>
                </c:pt>
                <c:pt idx="161">
                  <c:v>0.46242019273676777</c:v>
                </c:pt>
                <c:pt idx="162">
                  <c:v>0.92939317824332379</c:v>
                </c:pt>
                <c:pt idx="163">
                  <c:v>4.487331803449876E-2</c:v>
                </c:pt>
                <c:pt idx="164">
                  <c:v>1.0589560413089414</c:v>
                </c:pt>
                <c:pt idx="165">
                  <c:v>1.7486511867757544</c:v>
                </c:pt>
                <c:pt idx="166">
                  <c:v>0.55178356963753783</c:v>
                </c:pt>
                <c:pt idx="167">
                  <c:v>1.5986125754324565</c:v>
                </c:pt>
                <c:pt idx="168">
                  <c:v>0.10606019859254461</c:v>
                </c:pt>
                <c:pt idx="169">
                  <c:v>0.27110051958542214</c:v>
                </c:pt>
                <c:pt idx="170">
                  <c:v>0.26329176872986038</c:v>
                </c:pt>
                <c:pt idx="171">
                  <c:v>2.2817995097989083</c:v>
                </c:pt>
                <c:pt idx="172">
                  <c:v>2.230638563366766</c:v>
                </c:pt>
                <c:pt idx="173">
                  <c:v>2.2315380856233755</c:v>
                </c:pt>
                <c:pt idx="174">
                  <c:v>0.90469311885429449</c:v>
                </c:pt>
                <c:pt idx="175">
                  <c:v>0.42531304976008122</c:v>
                </c:pt>
                <c:pt idx="176">
                  <c:v>0.76594698475653722</c:v>
                </c:pt>
                <c:pt idx="177">
                  <c:v>2.6103586373420287</c:v>
                </c:pt>
                <c:pt idx="178">
                  <c:v>0.75325763012294233</c:v>
                </c:pt>
                <c:pt idx="179">
                  <c:v>2.172346964554619</c:v>
                </c:pt>
                <c:pt idx="180">
                  <c:v>0.95648968088196462</c:v>
                </c:pt>
                <c:pt idx="181">
                  <c:v>5.7240182790369867E-2</c:v>
                </c:pt>
                <c:pt idx="182">
                  <c:v>2.1846382915478859</c:v>
                </c:pt>
                <c:pt idx="183">
                  <c:v>1.442930381999755</c:v>
                </c:pt>
                <c:pt idx="184">
                  <c:v>2.5567269991078745</c:v>
                </c:pt>
                <c:pt idx="185">
                  <c:v>0.87887959886578071</c:v>
                </c:pt>
                <c:pt idx="186">
                  <c:v>0.46236266150823857</c:v>
                </c:pt>
                <c:pt idx="187">
                  <c:v>0.57419388854387199</c:v>
                </c:pt>
                <c:pt idx="188">
                  <c:v>1.9511546520467089E-4</c:v>
                </c:pt>
                <c:pt idx="189">
                  <c:v>0.44023561286110252</c:v>
                </c:pt>
                <c:pt idx="190">
                  <c:v>0.29876094773523554</c:v>
                </c:pt>
                <c:pt idx="191">
                  <c:v>0.58443746950155062</c:v>
                </c:pt>
                <c:pt idx="192">
                  <c:v>5.0842471082502873E-3</c:v>
                </c:pt>
                <c:pt idx="193">
                  <c:v>0.40786081504181704</c:v>
                </c:pt>
                <c:pt idx="194">
                  <c:v>0.28569406207328885</c:v>
                </c:pt>
                <c:pt idx="195">
                  <c:v>0.73398006225489765</c:v>
                </c:pt>
                <c:pt idx="196">
                  <c:v>0.89374995548267366</c:v>
                </c:pt>
                <c:pt idx="197">
                  <c:v>2.4871901646338657</c:v>
                </c:pt>
                <c:pt idx="198">
                  <c:v>2.5914871103152293</c:v>
                </c:pt>
                <c:pt idx="199">
                  <c:v>6.1568280533355066</c:v>
                </c:pt>
              </c:numCache>
            </c:numRef>
          </c:xVal>
          <c:yVal>
            <c:numRef>
              <c:f>Correlazione!$E$3:$E$202</c:f>
              <c:numCache>
                <c:formatCode>General</c:formatCode>
                <c:ptCount val="200"/>
                <c:pt idx="0">
                  <c:v>0.16302683013520436</c:v>
                </c:pt>
                <c:pt idx="1">
                  <c:v>0.12492522153141605</c:v>
                </c:pt>
                <c:pt idx="2">
                  <c:v>1.0998941232660382</c:v>
                </c:pt>
                <c:pt idx="3">
                  <c:v>0.22292617776071655</c:v>
                </c:pt>
                <c:pt idx="4">
                  <c:v>3.078438225347579</c:v>
                </c:pt>
                <c:pt idx="5">
                  <c:v>3.6941095760077332</c:v>
                </c:pt>
                <c:pt idx="6">
                  <c:v>4.6692263603662933</c:v>
                </c:pt>
                <c:pt idx="7">
                  <c:v>3.8778745597080526</c:v>
                </c:pt>
                <c:pt idx="8">
                  <c:v>4.7452907440959162</c:v>
                </c:pt>
                <c:pt idx="9">
                  <c:v>4.4043622147494208</c:v>
                </c:pt>
                <c:pt idx="10">
                  <c:v>4.2118301212878695</c:v>
                </c:pt>
                <c:pt idx="11">
                  <c:v>5.2033735369825216</c:v>
                </c:pt>
                <c:pt idx="12">
                  <c:v>5.7167339615153168</c:v>
                </c:pt>
                <c:pt idx="13">
                  <c:v>6.3932375616855897</c:v>
                </c:pt>
                <c:pt idx="14">
                  <c:v>6.2016207181965477</c:v>
                </c:pt>
                <c:pt idx="15">
                  <c:v>6.8194455173150281</c:v>
                </c:pt>
                <c:pt idx="16">
                  <c:v>4.047551588463822</c:v>
                </c:pt>
                <c:pt idx="17">
                  <c:v>4.461548953947247</c:v>
                </c:pt>
                <c:pt idx="18">
                  <c:v>5.5694747188511471</c:v>
                </c:pt>
                <c:pt idx="19">
                  <c:v>5.8967238586785662</c:v>
                </c:pt>
                <c:pt idx="20">
                  <c:v>2.6509465123359988</c:v>
                </c:pt>
                <c:pt idx="21">
                  <c:v>2.3128888432715939</c:v>
                </c:pt>
                <c:pt idx="22">
                  <c:v>0.99303666322397177</c:v>
                </c:pt>
                <c:pt idx="23">
                  <c:v>1.8225063007713658</c:v>
                </c:pt>
                <c:pt idx="24">
                  <c:v>1.1507699849162343</c:v>
                </c:pt>
                <c:pt idx="25">
                  <c:v>1.3578108471875332</c:v>
                </c:pt>
                <c:pt idx="26">
                  <c:v>0.90896829558382919</c:v>
                </c:pt>
                <c:pt idx="27">
                  <c:v>0.1116325069741535</c:v>
                </c:pt>
                <c:pt idx="28">
                  <c:v>0.32761426824205842</c:v>
                </c:pt>
                <c:pt idx="29">
                  <c:v>0.34670793164829661</c:v>
                </c:pt>
                <c:pt idx="30">
                  <c:v>2.3754649172683528</c:v>
                </c:pt>
                <c:pt idx="31">
                  <c:v>4.541592095884539</c:v>
                </c:pt>
                <c:pt idx="32">
                  <c:v>5.8831755677786646</c:v>
                </c:pt>
                <c:pt idx="33">
                  <c:v>7.6788741912904754</c:v>
                </c:pt>
                <c:pt idx="34">
                  <c:v>8.116138394093241</c:v>
                </c:pt>
                <c:pt idx="35">
                  <c:v>12.149344747098056</c:v>
                </c:pt>
                <c:pt idx="36">
                  <c:v>12.221619424995133</c:v>
                </c:pt>
                <c:pt idx="37">
                  <c:v>12.562127417789142</c:v>
                </c:pt>
                <c:pt idx="38">
                  <c:v>13.007069434445505</c:v>
                </c:pt>
                <c:pt idx="39">
                  <c:v>12.165053267587716</c:v>
                </c:pt>
                <c:pt idx="40">
                  <c:v>8.5954089731147434</c:v>
                </c:pt>
                <c:pt idx="41">
                  <c:v>7.1662179399472095</c:v>
                </c:pt>
                <c:pt idx="42">
                  <c:v>8.8311205344963142</c:v>
                </c:pt>
                <c:pt idx="43">
                  <c:v>8.3858089158305376</c:v>
                </c:pt>
                <c:pt idx="44">
                  <c:v>8.8271035258544046</c:v>
                </c:pt>
                <c:pt idx="45">
                  <c:v>10.082768842702237</c:v>
                </c:pt>
                <c:pt idx="46">
                  <c:v>10.141089805890736</c:v>
                </c:pt>
                <c:pt idx="47">
                  <c:v>9.659663370570847</c:v>
                </c:pt>
                <c:pt idx="48">
                  <c:v>9.5702125592010177</c:v>
                </c:pt>
                <c:pt idx="49">
                  <c:v>10.078960443850569</c:v>
                </c:pt>
                <c:pt idx="50">
                  <c:v>10.269186777998719</c:v>
                </c:pt>
                <c:pt idx="51">
                  <c:v>11.060667363171099</c:v>
                </c:pt>
                <c:pt idx="52">
                  <c:v>9.154072503005743</c:v>
                </c:pt>
                <c:pt idx="53">
                  <c:v>9.8103756241499482</c:v>
                </c:pt>
                <c:pt idx="54">
                  <c:v>10.209364884316074</c:v>
                </c:pt>
                <c:pt idx="55">
                  <c:v>9.5021569260543046</c:v>
                </c:pt>
                <c:pt idx="56">
                  <c:v>10.504890540627855</c:v>
                </c:pt>
                <c:pt idx="57">
                  <c:v>10.607449747898258</c:v>
                </c:pt>
                <c:pt idx="58">
                  <c:v>7.2278606554858413</c:v>
                </c:pt>
                <c:pt idx="59">
                  <c:v>6.0891089421254065</c:v>
                </c:pt>
                <c:pt idx="60">
                  <c:v>6.1134218011432466</c:v>
                </c:pt>
                <c:pt idx="61">
                  <c:v>6.1911568305109341</c:v>
                </c:pt>
                <c:pt idx="62">
                  <c:v>5.7821520577818006</c:v>
                </c:pt>
                <c:pt idx="63">
                  <c:v>7.0519417487125082</c:v>
                </c:pt>
                <c:pt idx="64">
                  <c:v>7.0297615878061208</c:v>
                </c:pt>
                <c:pt idx="65">
                  <c:v>7.2718139322329165</c:v>
                </c:pt>
                <c:pt idx="66">
                  <c:v>8.2749861510337297</c:v>
                </c:pt>
                <c:pt idx="67">
                  <c:v>8.1289887663474616</c:v>
                </c:pt>
                <c:pt idx="68">
                  <c:v>7.4315481491989033</c:v>
                </c:pt>
                <c:pt idx="69">
                  <c:v>7.0054262576983319</c:v>
                </c:pt>
                <c:pt idx="70">
                  <c:v>6.3165885292645925</c:v>
                </c:pt>
                <c:pt idx="71">
                  <c:v>6.2215151131216828</c:v>
                </c:pt>
                <c:pt idx="72">
                  <c:v>6.2979168120666174</c:v>
                </c:pt>
                <c:pt idx="73">
                  <c:v>7.5155833759888395</c:v>
                </c:pt>
                <c:pt idx="74">
                  <c:v>6.5869615342404302</c:v>
                </c:pt>
                <c:pt idx="75">
                  <c:v>3.7124487799706287</c:v>
                </c:pt>
                <c:pt idx="76">
                  <c:v>2.9892149945781483</c:v>
                </c:pt>
                <c:pt idx="77">
                  <c:v>3.2524309098551214</c:v>
                </c:pt>
                <c:pt idx="78">
                  <c:v>2.679725237918575</c:v>
                </c:pt>
                <c:pt idx="79">
                  <c:v>2.5628304082543565</c:v>
                </c:pt>
                <c:pt idx="80">
                  <c:v>2.3478188109106242</c:v>
                </c:pt>
                <c:pt idx="81">
                  <c:v>1.5625645820201441</c:v>
                </c:pt>
                <c:pt idx="82">
                  <c:v>3.2455324459891557</c:v>
                </c:pt>
                <c:pt idx="83">
                  <c:v>2.1371847406796718</c:v>
                </c:pt>
                <c:pt idx="84">
                  <c:v>2.6257647905066932</c:v>
                </c:pt>
                <c:pt idx="85">
                  <c:v>0.99410375321167521</c:v>
                </c:pt>
                <c:pt idx="86">
                  <c:v>1.6380602904291948</c:v>
                </c:pt>
                <c:pt idx="87">
                  <c:v>1.8643982300157376</c:v>
                </c:pt>
                <c:pt idx="88">
                  <c:v>1.7502850617375572</c:v>
                </c:pt>
                <c:pt idx="89">
                  <c:v>3.5231475619780497</c:v>
                </c:pt>
                <c:pt idx="90">
                  <c:v>5.109178004596501</c:v>
                </c:pt>
                <c:pt idx="91">
                  <c:v>5.1044869648196851</c:v>
                </c:pt>
                <c:pt idx="92">
                  <c:v>5.0666413154428227</c:v>
                </c:pt>
                <c:pt idx="93">
                  <c:v>5.4186800946666551</c:v>
                </c:pt>
                <c:pt idx="94">
                  <c:v>6.2883785183295799</c:v>
                </c:pt>
                <c:pt idx="95">
                  <c:v>6.3972308123943122</c:v>
                </c:pt>
                <c:pt idx="96">
                  <c:v>7.8837891440401222</c:v>
                </c:pt>
                <c:pt idx="97">
                  <c:v>9.7659445512970393</c:v>
                </c:pt>
                <c:pt idx="98">
                  <c:v>10.328787958064865</c:v>
                </c:pt>
                <c:pt idx="99">
                  <c:v>11.928344456125487</c:v>
                </c:pt>
                <c:pt idx="100">
                  <c:v>12.189357172722353</c:v>
                </c:pt>
                <c:pt idx="101">
                  <c:v>12.447750785635293</c:v>
                </c:pt>
                <c:pt idx="102">
                  <c:v>8.9610234541020901</c:v>
                </c:pt>
                <c:pt idx="103">
                  <c:v>7.6418993778684552</c:v>
                </c:pt>
                <c:pt idx="104">
                  <c:v>7.733884109200531</c:v>
                </c:pt>
                <c:pt idx="105">
                  <c:v>7.7368477990808913</c:v>
                </c:pt>
                <c:pt idx="106">
                  <c:v>7.6332040806977091</c:v>
                </c:pt>
                <c:pt idx="107">
                  <c:v>4.0897093241681404</c:v>
                </c:pt>
                <c:pt idx="108">
                  <c:v>5.6275473444323296</c:v>
                </c:pt>
                <c:pt idx="109">
                  <c:v>9.2912129404033266</c:v>
                </c:pt>
                <c:pt idx="110">
                  <c:v>9.9704091781110122</c:v>
                </c:pt>
                <c:pt idx="111">
                  <c:v>11.650837709568606</c:v>
                </c:pt>
                <c:pt idx="112">
                  <c:v>13.117650068324735</c:v>
                </c:pt>
                <c:pt idx="113">
                  <c:v>14.08935524366504</c:v>
                </c:pt>
                <c:pt idx="114">
                  <c:v>14.765011311949593</c:v>
                </c:pt>
                <c:pt idx="115">
                  <c:v>14.851052591466342</c:v>
                </c:pt>
                <c:pt idx="116">
                  <c:v>14.200915769142895</c:v>
                </c:pt>
                <c:pt idx="117">
                  <c:v>13.897885234679904</c:v>
                </c:pt>
                <c:pt idx="118">
                  <c:v>13.897753506205447</c:v>
                </c:pt>
                <c:pt idx="119">
                  <c:v>14.324999503791489</c:v>
                </c:pt>
                <c:pt idx="120">
                  <c:v>14.997297560302769</c:v>
                </c:pt>
                <c:pt idx="121">
                  <c:v>14.358293912469918</c:v>
                </c:pt>
                <c:pt idx="122">
                  <c:v>14.455957457161077</c:v>
                </c:pt>
                <c:pt idx="123">
                  <c:v>16.882076127863144</c:v>
                </c:pt>
                <c:pt idx="124">
                  <c:v>16.346974006586777</c:v>
                </c:pt>
                <c:pt idx="125">
                  <c:v>16.479132338001051</c:v>
                </c:pt>
                <c:pt idx="126">
                  <c:v>16.221419409217845</c:v>
                </c:pt>
                <c:pt idx="127">
                  <c:v>14.129679828506809</c:v>
                </c:pt>
                <c:pt idx="128">
                  <c:v>13.824714353250329</c:v>
                </c:pt>
                <c:pt idx="129">
                  <c:v>13.234793539680709</c:v>
                </c:pt>
                <c:pt idx="130">
                  <c:v>10.506983326447653</c:v>
                </c:pt>
                <c:pt idx="131">
                  <c:v>11.540700556459996</c:v>
                </c:pt>
                <c:pt idx="132">
                  <c:v>10.949711464307342</c:v>
                </c:pt>
                <c:pt idx="133">
                  <c:v>10.006802531045793</c:v>
                </c:pt>
                <c:pt idx="134">
                  <c:v>10.049476781485453</c:v>
                </c:pt>
                <c:pt idx="135">
                  <c:v>11.101823334128966</c:v>
                </c:pt>
                <c:pt idx="136">
                  <c:v>10.814493823038447</c:v>
                </c:pt>
                <c:pt idx="137">
                  <c:v>10.922760742208624</c:v>
                </c:pt>
                <c:pt idx="138">
                  <c:v>11.315446150066265</c:v>
                </c:pt>
                <c:pt idx="139">
                  <c:v>13.409226959024693</c:v>
                </c:pt>
                <c:pt idx="140">
                  <c:v>13.839489061692404</c:v>
                </c:pt>
                <c:pt idx="141">
                  <c:v>11.753834547187324</c:v>
                </c:pt>
                <c:pt idx="142">
                  <c:v>11.861878574748886</c:v>
                </c:pt>
                <c:pt idx="143">
                  <c:v>12.280715092910441</c:v>
                </c:pt>
                <c:pt idx="144">
                  <c:v>12.987053799175328</c:v>
                </c:pt>
                <c:pt idx="145">
                  <c:v>13.862771456492993</c:v>
                </c:pt>
                <c:pt idx="146">
                  <c:v>12.194393958464559</c:v>
                </c:pt>
                <c:pt idx="147">
                  <c:v>14.487370440675392</c:v>
                </c:pt>
                <c:pt idx="148">
                  <c:v>13.135820274212193</c:v>
                </c:pt>
                <c:pt idx="149">
                  <c:v>14.024058606570605</c:v>
                </c:pt>
                <c:pt idx="150">
                  <c:v>15.13718072665003</c:v>
                </c:pt>
                <c:pt idx="151">
                  <c:v>14.978506681688685</c:v>
                </c:pt>
                <c:pt idx="152">
                  <c:v>13.915755728381441</c:v>
                </c:pt>
                <c:pt idx="153">
                  <c:v>13.732077081589722</c:v>
                </c:pt>
                <c:pt idx="154">
                  <c:v>13.905863492091896</c:v>
                </c:pt>
                <c:pt idx="155">
                  <c:v>12.954892447756464</c:v>
                </c:pt>
                <c:pt idx="156">
                  <c:v>12.693265527027847</c:v>
                </c:pt>
                <c:pt idx="157">
                  <c:v>12.583987848116095</c:v>
                </c:pt>
                <c:pt idx="158">
                  <c:v>11.55149702528675</c:v>
                </c:pt>
                <c:pt idx="159">
                  <c:v>11.661720993110038</c:v>
                </c:pt>
                <c:pt idx="160">
                  <c:v>7.2991558653806692</c:v>
                </c:pt>
                <c:pt idx="161">
                  <c:v>9.8557567447116696</c:v>
                </c:pt>
                <c:pt idx="162">
                  <c:v>9.0202879006301373</c:v>
                </c:pt>
                <c:pt idx="163">
                  <c:v>9.0272895406224336</c:v>
                </c:pt>
                <c:pt idx="164">
                  <c:v>8.0609880464190837</c:v>
                </c:pt>
                <c:pt idx="165">
                  <c:v>6.5128663760951326</c:v>
                </c:pt>
                <c:pt idx="166">
                  <c:v>6.4367782621786773</c:v>
                </c:pt>
                <c:pt idx="167">
                  <c:v>5.5853875422224633</c:v>
                </c:pt>
                <c:pt idx="168">
                  <c:v>7.6151140108362654</c:v>
                </c:pt>
                <c:pt idx="169">
                  <c:v>7.4781758457976366</c:v>
                </c:pt>
                <c:pt idx="170">
                  <c:v>7.7383260733215593</c:v>
                </c:pt>
                <c:pt idx="171">
                  <c:v>5.8841390655275063</c:v>
                </c:pt>
                <c:pt idx="172">
                  <c:v>5.2772348474319131</c:v>
                </c:pt>
                <c:pt idx="173">
                  <c:v>4.8709247928391051</c:v>
                </c:pt>
                <c:pt idx="174">
                  <c:v>4.1833243023513091</c:v>
                </c:pt>
                <c:pt idx="175">
                  <c:v>5.2728721740303683</c:v>
                </c:pt>
                <c:pt idx="176">
                  <c:v>4.7345534346260081</c:v>
                </c:pt>
                <c:pt idx="177">
                  <c:v>2.685589634533045</c:v>
                </c:pt>
                <c:pt idx="178">
                  <c:v>2.9258660649240085</c:v>
                </c:pt>
                <c:pt idx="179">
                  <c:v>1.7986721223874724</c:v>
                </c:pt>
                <c:pt idx="180">
                  <c:v>1.7830564338685235</c:v>
                </c:pt>
                <c:pt idx="181">
                  <c:v>3.2659393279552091</c:v>
                </c:pt>
                <c:pt idx="182">
                  <c:v>1.519339988664683</c:v>
                </c:pt>
                <c:pt idx="183">
                  <c:v>0.72473338663630216</c:v>
                </c:pt>
                <c:pt idx="184">
                  <c:v>1.5079798975940548</c:v>
                </c:pt>
                <c:pt idx="185">
                  <c:v>2.3065668010373486</c:v>
                </c:pt>
                <c:pt idx="186">
                  <c:v>2.0718886259288922</c:v>
                </c:pt>
                <c:pt idx="187">
                  <c:v>1.6745057348772718</c:v>
                </c:pt>
                <c:pt idx="188">
                  <c:v>2.6095365820390271</c:v>
                </c:pt>
                <c:pt idx="189">
                  <c:v>2.5619227480418658</c:v>
                </c:pt>
                <c:pt idx="190">
                  <c:v>2.44600371323952</c:v>
                </c:pt>
                <c:pt idx="191">
                  <c:v>2.3329888365045122</c:v>
                </c:pt>
                <c:pt idx="192">
                  <c:v>3.6583304461359774</c:v>
                </c:pt>
                <c:pt idx="193">
                  <c:v>4.2095980127108419</c:v>
                </c:pt>
                <c:pt idx="194">
                  <c:v>4.7820020479485947</c:v>
                </c:pt>
                <c:pt idx="195">
                  <c:v>6.5062807511891094</c:v>
                </c:pt>
                <c:pt idx="196">
                  <c:v>5.8636936782369844</c:v>
                </c:pt>
                <c:pt idx="197">
                  <c:v>5.2116547886819831</c:v>
                </c:pt>
                <c:pt idx="198">
                  <c:v>3.9648120315065682</c:v>
                </c:pt>
                <c:pt idx="199">
                  <c:v>0.39361924628116185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C4-4234-A2DC-9074F58A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870687"/>
        <c:axId val="2136087919"/>
      </c:scatterChart>
      <c:valAx>
        <c:axId val="375870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6087919"/>
        <c:crosses val="autoZero"/>
        <c:crossBetween val="midCat"/>
      </c:valAx>
      <c:valAx>
        <c:axId val="213608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8706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C-G</a:t>
            </a:r>
          </a:p>
          <a:p>
            <a:pPr>
              <a:defRPr/>
            </a:pP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Correlazione!$C$3:$C$202</c:f>
              <c:numCache>
                <c:formatCode>General</c:formatCode>
                <c:ptCount val="200"/>
                <c:pt idx="0">
                  <c:v>0.1630268301352043</c:v>
                </c:pt>
                <c:pt idx="1">
                  <c:v>0.12492522153141586</c:v>
                </c:pt>
                <c:pt idx="2">
                  <c:v>1.099894123266038</c:v>
                </c:pt>
                <c:pt idx="3">
                  <c:v>0.22292617776071683</c:v>
                </c:pt>
                <c:pt idx="4">
                  <c:v>3.0784382253475795</c:v>
                </c:pt>
                <c:pt idx="5">
                  <c:v>0.84999755760170759</c:v>
                </c:pt>
                <c:pt idx="6">
                  <c:v>1.8916750693976851</c:v>
                </c:pt>
                <c:pt idx="7">
                  <c:v>0.38460590435169284</c:v>
                </c:pt>
                <c:pt idx="8">
                  <c:v>2.4238232532262831</c:v>
                </c:pt>
                <c:pt idx="9">
                  <c:v>0.19253325806886881</c:v>
                </c:pt>
                <c:pt idx="10">
                  <c:v>0.42178072712672238</c:v>
                </c:pt>
                <c:pt idx="11">
                  <c:v>2.8495650491379494</c:v>
                </c:pt>
                <c:pt idx="12">
                  <c:v>0.6103188125865765</c:v>
                </c:pt>
                <c:pt idx="13">
                  <c:v>1.3340281009434016</c:v>
                </c:pt>
                <c:pt idx="14">
                  <c:v>1.3604587914161461</c:v>
                </c:pt>
                <c:pt idx="15">
                  <c:v>0.63122735479312486</c:v>
                </c:pt>
                <c:pt idx="16">
                  <c:v>0.78153818504112516</c:v>
                </c:pt>
                <c:pt idx="17">
                  <c:v>0.54405768511585817</c:v>
                </c:pt>
                <c:pt idx="18">
                  <c:v>1.5855182867319852</c:v>
                </c:pt>
                <c:pt idx="19">
                  <c:v>1.0569723159624804</c:v>
                </c:pt>
                <c:pt idx="20">
                  <c:v>0.38639622248782279</c:v>
                </c:pt>
                <c:pt idx="21">
                  <c:v>0.25395536467794155</c:v>
                </c:pt>
                <c:pt idx="22">
                  <c:v>0.2615390977573806</c:v>
                </c:pt>
                <c:pt idx="23">
                  <c:v>1.0284097879273535</c:v>
                </c:pt>
                <c:pt idx="24">
                  <c:v>0.66596535845418936</c:v>
                </c:pt>
                <c:pt idx="25">
                  <c:v>0.86974474619687037</c:v>
                </c:pt>
                <c:pt idx="26">
                  <c:v>0.81413422960942816</c:v>
                </c:pt>
                <c:pt idx="27">
                  <c:v>0.11163250697415447</c:v>
                </c:pt>
                <c:pt idx="28">
                  <c:v>0.32761426824205792</c:v>
                </c:pt>
                <c:pt idx="29">
                  <c:v>0.34670793164829561</c:v>
                </c:pt>
                <c:pt idx="30">
                  <c:v>2.3754649172683542</c:v>
                </c:pt>
                <c:pt idx="31">
                  <c:v>2.1887842735422947</c:v>
                </c:pt>
                <c:pt idx="32">
                  <c:v>1.6088468836086005</c:v>
                </c:pt>
                <c:pt idx="33">
                  <c:v>1.9874166350091298</c:v>
                </c:pt>
                <c:pt idx="34">
                  <c:v>1.857529160688455</c:v>
                </c:pt>
                <c:pt idx="35">
                  <c:v>4.8102282695440834</c:v>
                </c:pt>
                <c:pt idx="36">
                  <c:v>0.14662797683364343</c:v>
                </c:pt>
                <c:pt idx="37">
                  <c:v>0.56551933956918721</c:v>
                </c:pt>
                <c:pt idx="38">
                  <c:v>1.6607351279033609</c:v>
                </c:pt>
                <c:pt idx="39">
                  <c:v>0.18595752748526523</c:v>
                </c:pt>
                <c:pt idx="40">
                  <c:v>0.61087468676940793</c:v>
                </c:pt>
                <c:pt idx="41">
                  <c:v>0.40709142507902857</c:v>
                </c:pt>
                <c:pt idx="42">
                  <c:v>1.7473991649057752</c:v>
                </c:pt>
                <c:pt idx="43">
                  <c:v>7.740692396311713E-2</c:v>
                </c:pt>
                <c:pt idx="44">
                  <c:v>0.50741326409748944</c:v>
                </c:pt>
                <c:pt idx="45">
                  <c:v>1.3759039089946299</c:v>
                </c:pt>
                <c:pt idx="46">
                  <c:v>0.44809079404533175</c:v>
                </c:pt>
                <c:pt idx="47">
                  <c:v>1.7393065038129789</c:v>
                </c:pt>
                <c:pt idx="48">
                  <c:v>0.27935710116008022</c:v>
                </c:pt>
                <c:pt idx="49">
                  <c:v>2.5899439098580888</c:v>
                </c:pt>
                <c:pt idx="50">
                  <c:v>0.40202999087076841</c:v>
                </c:pt>
                <c:pt idx="51">
                  <c:v>0.84425347379127336</c:v>
                </c:pt>
                <c:pt idx="52">
                  <c:v>0.62084881078203713</c:v>
                </c:pt>
                <c:pt idx="53">
                  <c:v>1.3163468525251425</c:v>
                </c:pt>
                <c:pt idx="54">
                  <c:v>0.67787476029005589</c:v>
                </c:pt>
                <c:pt idx="55">
                  <c:v>1.2034410396654105</c:v>
                </c:pt>
                <c:pt idx="56">
                  <c:v>1.4681589871833611</c:v>
                </c:pt>
                <c:pt idx="57">
                  <c:v>0.93600380123939042</c:v>
                </c:pt>
                <c:pt idx="58">
                  <c:v>0.45510364499736983</c:v>
                </c:pt>
                <c:pt idx="59">
                  <c:v>0.14448138313101799</c:v>
                </c:pt>
                <c:pt idx="60">
                  <c:v>0.80604538089549072</c:v>
                </c:pt>
                <c:pt idx="61">
                  <c:v>0.77834017895972951</c:v>
                </c:pt>
                <c:pt idx="62">
                  <c:v>0.29659849874619648</c:v>
                </c:pt>
                <c:pt idx="63">
                  <c:v>1.9812820124167139</c:v>
                </c:pt>
                <c:pt idx="64">
                  <c:v>0.23388897604770048</c:v>
                </c:pt>
                <c:pt idx="65">
                  <c:v>0.27020458854512203</c:v>
                </c:pt>
                <c:pt idx="66">
                  <c:v>1.1215925685252424</c:v>
                </c:pt>
                <c:pt idx="67">
                  <c:v>0.20230957557635465</c:v>
                </c:pt>
                <c:pt idx="68">
                  <c:v>0.21666767136042006</c:v>
                </c:pt>
                <c:pt idx="69">
                  <c:v>0.7387924305032465</c:v>
                </c:pt>
                <c:pt idx="70">
                  <c:v>0.57172686259419081</c:v>
                </c:pt>
                <c:pt idx="71">
                  <c:v>2.3127147405896107</c:v>
                </c:pt>
                <c:pt idx="72">
                  <c:v>0.87807723273978844</c:v>
                </c:pt>
                <c:pt idx="73">
                  <c:v>1.4280958233570746</c:v>
                </c:pt>
                <c:pt idx="74">
                  <c:v>9.270726077438271E-2</c:v>
                </c:pt>
                <c:pt idx="75">
                  <c:v>1.4757579338892839</c:v>
                </c:pt>
                <c:pt idx="76">
                  <c:v>0.50096267837803343</c:v>
                </c:pt>
                <c:pt idx="77">
                  <c:v>0.39622726834585992</c:v>
                </c:pt>
                <c:pt idx="78">
                  <c:v>1.1453582220895058</c:v>
                </c:pt>
                <c:pt idx="79">
                  <c:v>1.1174234529762892</c:v>
                </c:pt>
                <c:pt idx="80">
                  <c:v>5.8647842154474036E-2</c:v>
                </c:pt>
                <c:pt idx="81">
                  <c:v>0.32252470874249445</c:v>
                </c:pt>
                <c:pt idx="82">
                  <c:v>2.0538831283705141</c:v>
                </c:pt>
                <c:pt idx="83">
                  <c:v>0.17310088356607456</c:v>
                </c:pt>
                <c:pt idx="84">
                  <c:v>0.70750704145045384</c:v>
                </c:pt>
                <c:pt idx="85">
                  <c:v>0.89645019346372612</c:v>
                </c:pt>
                <c:pt idx="86">
                  <c:v>0.88491062821175648</c:v>
                </c:pt>
                <c:pt idx="87">
                  <c:v>1.1017686797092123</c:v>
                </c:pt>
                <c:pt idx="88">
                  <c:v>0.61608449825234102</c:v>
                </c:pt>
                <c:pt idx="89">
                  <c:v>1.8106271420455988</c:v>
                </c:pt>
                <c:pt idx="90">
                  <c:v>1.6816186057587581</c:v>
                </c:pt>
                <c:pt idx="91">
                  <c:v>0.25906213622385227</c:v>
                </c:pt>
                <c:pt idx="92">
                  <c:v>2.2371509477525873</c:v>
                </c:pt>
                <c:pt idx="93">
                  <c:v>0.99609860400104311</c:v>
                </c:pt>
                <c:pt idx="94">
                  <c:v>1.3055841162507651</c:v>
                </c:pt>
                <c:pt idx="95">
                  <c:v>0.19584486044246857</c:v>
                </c:pt>
                <c:pt idx="96">
                  <c:v>1.8395673983702259</c:v>
                </c:pt>
                <c:pt idx="97">
                  <c:v>1.9843495105408853</c:v>
                </c:pt>
                <c:pt idx="98">
                  <c:v>0.81604938688486539</c:v>
                </c:pt>
                <c:pt idx="99">
                  <c:v>2.1983776539168889</c:v>
                </c:pt>
                <c:pt idx="100">
                  <c:v>0.36657628848208212</c:v>
                </c:pt>
                <c:pt idx="101">
                  <c:v>0.77587857242956171</c:v>
                </c:pt>
                <c:pt idx="102">
                  <c:v>0.42993066579796274</c:v>
                </c:pt>
                <c:pt idx="103">
                  <c:v>0.73969720986086163</c:v>
                </c:pt>
                <c:pt idx="104">
                  <c:v>0.94344328207957751</c:v>
                </c:pt>
                <c:pt idx="105">
                  <c:v>0.28026747393597745</c:v>
                </c:pt>
                <c:pt idx="106">
                  <c:v>0.13699412247287826</c:v>
                </c:pt>
                <c:pt idx="107">
                  <c:v>0.27342230827281999</c:v>
                </c:pt>
                <c:pt idx="108">
                  <c:v>2.054508666810162</c:v>
                </c:pt>
                <c:pt idx="109">
                  <c:v>4.5659183442442561</c:v>
                </c:pt>
                <c:pt idx="110">
                  <c:v>2.0555499637274313</c:v>
                </c:pt>
                <c:pt idx="111">
                  <c:v>1.8808025416528642</c:v>
                </c:pt>
                <c:pt idx="112">
                  <c:v>1.5465535749693331</c:v>
                </c:pt>
                <c:pt idx="113">
                  <c:v>1.6854020346331697</c:v>
                </c:pt>
                <c:pt idx="114">
                  <c:v>0.76340059201566912</c:v>
                </c:pt>
                <c:pt idx="115">
                  <c:v>0.26274979950784766</c:v>
                </c:pt>
                <c:pt idx="116">
                  <c:v>0.47594504162110124</c:v>
                </c:pt>
                <c:pt idx="117">
                  <c:v>1.9593116830500594</c:v>
                </c:pt>
                <c:pt idx="118">
                  <c:v>8.8221544134496649E-2</c:v>
                </c:pt>
                <c:pt idx="119">
                  <c:v>1.0451052086872576</c:v>
                </c:pt>
                <c:pt idx="120">
                  <c:v>0.84542814373460373</c:v>
                </c:pt>
                <c:pt idx="121">
                  <c:v>0.81883961366251901</c:v>
                </c:pt>
                <c:pt idx="122">
                  <c:v>1.2250521978587154</c:v>
                </c:pt>
                <c:pt idx="123">
                  <c:v>3.1865967308223655</c:v>
                </c:pt>
                <c:pt idx="124">
                  <c:v>1.6786922137141815</c:v>
                </c:pt>
                <c:pt idx="125">
                  <c:v>0.39298790494010494</c:v>
                </c:pt>
                <c:pt idx="126">
                  <c:v>0.77825148597675176</c:v>
                </c:pt>
                <c:pt idx="127">
                  <c:v>0.49414047644125247</c:v>
                </c:pt>
                <c:pt idx="128">
                  <c:v>0.42337468621590929</c:v>
                </c:pt>
                <c:pt idx="129">
                  <c:v>0.35297673369632432</c:v>
                </c:pt>
                <c:pt idx="130">
                  <c:v>0.51213387832869683</c:v>
                </c:pt>
                <c:pt idx="131">
                  <c:v>1.5342789626667528</c:v>
                </c:pt>
                <c:pt idx="132">
                  <c:v>0.7201403378403276</c:v>
                </c:pt>
                <c:pt idx="133">
                  <c:v>0.34724761527017112</c:v>
                </c:pt>
                <c:pt idx="134">
                  <c:v>0.33265955967271543</c:v>
                </c:pt>
                <c:pt idx="135">
                  <c:v>1.4522968105886493</c:v>
                </c:pt>
                <c:pt idx="136">
                  <c:v>0.65332061875684122</c:v>
                </c:pt>
                <c:pt idx="137">
                  <c:v>1.2345435471872461</c:v>
                </c:pt>
                <c:pt idx="138">
                  <c:v>0.48171789499664136</c:v>
                </c:pt>
                <c:pt idx="139">
                  <c:v>2.2961648409304272</c:v>
                </c:pt>
                <c:pt idx="140">
                  <c:v>0.8390584427225708</c:v>
                </c:pt>
                <c:pt idx="141">
                  <c:v>0.30786563570205533</c:v>
                </c:pt>
                <c:pt idx="142">
                  <c:v>0.39773374803050948</c:v>
                </c:pt>
                <c:pt idx="143">
                  <c:v>0.89069048913163607</c:v>
                </c:pt>
                <c:pt idx="144">
                  <c:v>0.76511501281285277</c:v>
                </c:pt>
                <c:pt idx="145">
                  <c:v>2.0379856222376072</c:v>
                </c:pt>
                <c:pt idx="146">
                  <c:v>0.18745356999259721</c:v>
                </c:pt>
                <c:pt idx="147">
                  <c:v>3.4197234585096998</c:v>
                </c:pt>
                <c:pt idx="148">
                  <c:v>2.4746752397149807</c:v>
                </c:pt>
                <c:pt idx="149">
                  <c:v>1.0295752056981418</c:v>
                </c:pt>
                <c:pt idx="150">
                  <c:v>1.4878201691539725</c:v>
                </c:pt>
                <c:pt idx="151">
                  <c:v>0.16108605534717996</c:v>
                </c:pt>
                <c:pt idx="152">
                  <c:v>0.52440894784729186</c:v>
                </c:pt>
                <c:pt idx="153">
                  <c:v>0.22752506308065329</c:v>
                </c:pt>
                <c:pt idx="154">
                  <c:v>0.81347086781261568</c:v>
                </c:pt>
                <c:pt idx="155">
                  <c:v>6.0294362068341718E-2</c:v>
                </c:pt>
                <c:pt idx="156">
                  <c:v>8.9601319104318775E-2</c:v>
                </c:pt>
                <c:pt idx="157">
                  <c:v>0.51385148228406696</c:v>
                </c:pt>
                <c:pt idx="158">
                  <c:v>1.2626355224387</c:v>
                </c:pt>
                <c:pt idx="159">
                  <c:v>0.9151267362887795</c:v>
                </c:pt>
                <c:pt idx="160">
                  <c:v>0.55411814949693328</c:v>
                </c:pt>
                <c:pt idx="161">
                  <c:v>3.0190210720677859</c:v>
                </c:pt>
                <c:pt idx="162">
                  <c:v>9.392433416179799E-2</c:v>
                </c:pt>
                <c:pt idx="163">
                  <c:v>5.1874958026793185E-2</c:v>
                </c:pt>
                <c:pt idx="164">
                  <c:v>9.2654547105591248E-2</c:v>
                </c:pt>
                <c:pt idx="165">
                  <c:v>0.20052951645181216</c:v>
                </c:pt>
                <c:pt idx="166">
                  <c:v>0.47569545572107241</c:v>
                </c:pt>
                <c:pt idx="167">
                  <c:v>0.74722185547624431</c:v>
                </c:pt>
                <c:pt idx="168">
                  <c:v>2.1357866672063648</c:v>
                </c:pt>
                <c:pt idx="169">
                  <c:v>0.13416235454680076</c:v>
                </c:pt>
                <c:pt idx="170">
                  <c:v>0.52344199625378851</c:v>
                </c:pt>
                <c:pt idx="171">
                  <c:v>0.42761250200484302</c:v>
                </c:pt>
                <c:pt idx="172">
                  <c:v>1.6237343452711797</c:v>
                </c:pt>
                <c:pt idx="173">
                  <c:v>1.8252280310305675</c:v>
                </c:pt>
                <c:pt idx="174">
                  <c:v>0.21709262836649268</c:v>
                </c:pt>
                <c:pt idx="175">
                  <c:v>1.5148609214391482</c:v>
                </c:pt>
                <c:pt idx="176">
                  <c:v>0.22762824535217718</c:v>
                </c:pt>
                <c:pt idx="177">
                  <c:v>0.56139483724905082</c:v>
                </c:pt>
                <c:pt idx="178">
                  <c:v>0.99353406051388105</c:v>
                </c:pt>
                <c:pt idx="179">
                  <c:v>1.0451530220180738</c:v>
                </c:pt>
                <c:pt idx="180">
                  <c:v>0.94087399236301106</c:v>
                </c:pt>
                <c:pt idx="181">
                  <c:v>1.5401230768770491</c:v>
                </c:pt>
                <c:pt idx="182">
                  <c:v>0.43803895225735318</c:v>
                </c:pt>
                <c:pt idx="183">
                  <c:v>0.64832377997138779</c:v>
                </c:pt>
                <c:pt idx="184">
                  <c:v>1.5079798975940573</c:v>
                </c:pt>
                <c:pt idx="185">
                  <c:v>1.6774665023090711</c:v>
                </c:pt>
                <c:pt idx="186">
                  <c:v>0.22768448639979968</c:v>
                </c:pt>
                <c:pt idx="187">
                  <c:v>0.17681099749225213</c:v>
                </c:pt>
                <c:pt idx="188">
                  <c:v>0.93522596262696533</c:v>
                </c:pt>
                <c:pt idx="189">
                  <c:v>0.3926217788639364</c:v>
                </c:pt>
                <c:pt idx="190">
                  <c:v>0.18284191293291308</c:v>
                </c:pt>
                <c:pt idx="191">
                  <c:v>0.47142259276653742</c:v>
                </c:pt>
                <c:pt idx="192">
                  <c:v>1.330425856739718</c:v>
                </c:pt>
                <c:pt idx="193">
                  <c:v>0.95912838161670233</c:v>
                </c:pt>
                <c:pt idx="194">
                  <c:v>0.85809809731102282</c:v>
                </c:pt>
                <c:pt idx="195">
                  <c:v>2.4582587654953878</c:v>
                </c:pt>
                <c:pt idx="196">
                  <c:v>0.25116288253052738</c:v>
                </c:pt>
                <c:pt idx="197">
                  <c:v>1.8351512750788597</c:v>
                </c:pt>
                <c:pt idx="198">
                  <c:v>1.3446443531398178</c:v>
                </c:pt>
                <c:pt idx="199">
                  <c:v>0.39361924628116685</c:v>
                </c:pt>
              </c:numCache>
            </c:numRef>
          </c:xVal>
          <c:yVal>
            <c:numRef>
              <c:f>Correlazione!$D$3:$D$202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2.844112</c:v>
                </c:pt>
                <c:pt idx="6">
                  <c:v>2.7775509999999999</c:v>
                </c:pt>
                <c:pt idx="7">
                  <c:v>3.4932690000000002</c:v>
                </c:pt>
                <c:pt idx="8">
                  <c:v>2.3214670000000002</c:v>
                </c:pt>
                <c:pt idx="9">
                  <c:v>4.2118289999999998</c:v>
                </c:pt>
                <c:pt idx="10">
                  <c:v>3.7900489999999998</c:v>
                </c:pt>
                <c:pt idx="11">
                  <c:v>2.3538079999999999</c:v>
                </c:pt>
                <c:pt idx="12">
                  <c:v>5.1064150000000001</c:v>
                </c:pt>
                <c:pt idx="13">
                  <c:v>5.0592090000000001</c:v>
                </c:pt>
                <c:pt idx="14">
                  <c:v>4.8411619999999997</c:v>
                </c:pt>
                <c:pt idx="15">
                  <c:v>6.188218</c:v>
                </c:pt>
                <c:pt idx="16">
                  <c:v>3.2660130000000001</c:v>
                </c:pt>
                <c:pt idx="17">
                  <c:v>3.9174910000000001</c:v>
                </c:pt>
                <c:pt idx="18">
                  <c:v>3.9839560000000001</c:v>
                </c:pt>
                <c:pt idx="19">
                  <c:v>4.8397519999999998</c:v>
                </c:pt>
                <c:pt idx="20">
                  <c:v>2.2645499999999998</c:v>
                </c:pt>
                <c:pt idx="21">
                  <c:v>2.0589330000000001</c:v>
                </c:pt>
                <c:pt idx="22">
                  <c:v>0.73149799999999998</c:v>
                </c:pt>
                <c:pt idx="23">
                  <c:v>0.79409700000000005</c:v>
                </c:pt>
                <c:pt idx="24">
                  <c:v>0.48480499999999999</c:v>
                </c:pt>
                <c:pt idx="25">
                  <c:v>0.488066</c:v>
                </c:pt>
                <c:pt idx="26">
                  <c:v>9.4834000000000002E-2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2.352808</c:v>
                </c:pt>
                <c:pt idx="32">
                  <c:v>4.2743289999999998</c:v>
                </c:pt>
                <c:pt idx="33">
                  <c:v>5.6914579999999999</c:v>
                </c:pt>
                <c:pt idx="34">
                  <c:v>6.2586089999999999</c:v>
                </c:pt>
                <c:pt idx="35">
                  <c:v>7.3391159999999998</c:v>
                </c:pt>
                <c:pt idx="36">
                  <c:v>12.074991000000001</c:v>
                </c:pt>
                <c:pt idx="37">
                  <c:v>11.996608</c:v>
                </c:pt>
                <c:pt idx="38">
                  <c:v>11.346334000000001</c:v>
                </c:pt>
                <c:pt idx="39">
                  <c:v>11.979096</c:v>
                </c:pt>
                <c:pt idx="40">
                  <c:v>7.984534</c:v>
                </c:pt>
                <c:pt idx="41">
                  <c:v>6.7591270000000003</c:v>
                </c:pt>
                <c:pt idx="42">
                  <c:v>7.0837209999999997</c:v>
                </c:pt>
                <c:pt idx="43">
                  <c:v>8.3084019999999992</c:v>
                </c:pt>
                <c:pt idx="44">
                  <c:v>8.3196899999999996</c:v>
                </c:pt>
                <c:pt idx="45">
                  <c:v>8.7068650000000005</c:v>
                </c:pt>
                <c:pt idx="46">
                  <c:v>9.6929990000000004</c:v>
                </c:pt>
                <c:pt idx="47">
                  <c:v>7.9203570000000001</c:v>
                </c:pt>
                <c:pt idx="48">
                  <c:v>9.2908550000000005</c:v>
                </c:pt>
                <c:pt idx="49">
                  <c:v>7.4890169999999996</c:v>
                </c:pt>
                <c:pt idx="50">
                  <c:v>9.8671570000000006</c:v>
                </c:pt>
                <c:pt idx="51">
                  <c:v>10.216414</c:v>
                </c:pt>
                <c:pt idx="52">
                  <c:v>8.5332240000000006</c:v>
                </c:pt>
                <c:pt idx="53">
                  <c:v>8.4940289999999994</c:v>
                </c:pt>
                <c:pt idx="54">
                  <c:v>9.5314899999999998</c:v>
                </c:pt>
                <c:pt idx="55">
                  <c:v>8.2987160000000006</c:v>
                </c:pt>
                <c:pt idx="56">
                  <c:v>9.0367320000000007</c:v>
                </c:pt>
                <c:pt idx="57">
                  <c:v>9.6714459999999995</c:v>
                </c:pt>
                <c:pt idx="58">
                  <c:v>6.7727570000000004</c:v>
                </c:pt>
                <c:pt idx="59">
                  <c:v>5.9446279999999998</c:v>
                </c:pt>
                <c:pt idx="60">
                  <c:v>5.3073759999999996</c:v>
                </c:pt>
                <c:pt idx="61">
                  <c:v>5.4128170000000004</c:v>
                </c:pt>
                <c:pt idx="62">
                  <c:v>5.4855539999999996</c:v>
                </c:pt>
                <c:pt idx="63">
                  <c:v>5.0706600000000002</c:v>
                </c:pt>
                <c:pt idx="64">
                  <c:v>6.7958730000000003</c:v>
                </c:pt>
                <c:pt idx="65">
                  <c:v>7.0016090000000002</c:v>
                </c:pt>
                <c:pt idx="66">
                  <c:v>7.1533939999999996</c:v>
                </c:pt>
                <c:pt idx="67">
                  <c:v>7.926679</c:v>
                </c:pt>
                <c:pt idx="68">
                  <c:v>7.21488</c:v>
                </c:pt>
                <c:pt idx="69">
                  <c:v>6.2666339999999998</c:v>
                </c:pt>
                <c:pt idx="70">
                  <c:v>5.7448620000000004</c:v>
                </c:pt>
                <c:pt idx="71">
                  <c:v>3.9087999999999998</c:v>
                </c:pt>
                <c:pt idx="72">
                  <c:v>5.4198399999999998</c:v>
                </c:pt>
                <c:pt idx="73">
                  <c:v>6.0874879999999996</c:v>
                </c:pt>
                <c:pt idx="74">
                  <c:v>6.4942539999999997</c:v>
                </c:pt>
                <c:pt idx="75">
                  <c:v>2.236691</c:v>
                </c:pt>
                <c:pt idx="76">
                  <c:v>2.4882520000000001</c:v>
                </c:pt>
                <c:pt idx="77">
                  <c:v>2.856204</c:v>
                </c:pt>
                <c:pt idx="78">
                  <c:v>1.534367</c:v>
                </c:pt>
                <c:pt idx="79">
                  <c:v>1.4454070000000001</c:v>
                </c:pt>
                <c:pt idx="80">
                  <c:v>2.2891710000000001</c:v>
                </c:pt>
                <c:pt idx="81">
                  <c:v>1.24004</c:v>
                </c:pt>
                <c:pt idx="82">
                  <c:v>1.191649</c:v>
                </c:pt>
                <c:pt idx="83">
                  <c:v>1.9640839999999999</c:v>
                </c:pt>
                <c:pt idx="84">
                  <c:v>1.918258</c:v>
                </c:pt>
                <c:pt idx="85">
                  <c:v>9.7654000000000005E-2</c:v>
                </c:pt>
                <c:pt idx="86">
                  <c:v>0.75314999999999999</c:v>
                </c:pt>
                <c:pt idx="87">
                  <c:v>0.76263000000000003</c:v>
                </c:pt>
                <c:pt idx="88">
                  <c:v>1.134201</c:v>
                </c:pt>
                <c:pt idx="89">
                  <c:v>1.71252</c:v>
                </c:pt>
                <c:pt idx="90">
                  <c:v>3.427559</c:v>
                </c:pt>
                <c:pt idx="91">
                  <c:v>4.8454249999999996</c:v>
                </c:pt>
                <c:pt idx="92">
                  <c:v>2.8294899999999998</c:v>
                </c:pt>
                <c:pt idx="93">
                  <c:v>4.4225810000000001</c:v>
                </c:pt>
                <c:pt idx="94">
                  <c:v>4.9827940000000002</c:v>
                </c:pt>
                <c:pt idx="95">
                  <c:v>6.2013860000000003</c:v>
                </c:pt>
                <c:pt idx="96">
                  <c:v>6.0442220000000004</c:v>
                </c:pt>
                <c:pt idx="97">
                  <c:v>7.7815950000000003</c:v>
                </c:pt>
                <c:pt idx="98">
                  <c:v>9.5127389999999998</c:v>
                </c:pt>
                <c:pt idx="99">
                  <c:v>9.7299670000000003</c:v>
                </c:pt>
                <c:pt idx="100">
                  <c:v>11.822781000000001</c:v>
                </c:pt>
                <c:pt idx="101">
                  <c:v>11.671872</c:v>
                </c:pt>
                <c:pt idx="102">
                  <c:v>8.5310930000000003</c:v>
                </c:pt>
                <c:pt idx="103">
                  <c:v>6.9022019999999999</c:v>
                </c:pt>
                <c:pt idx="104">
                  <c:v>6.7904410000000004</c:v>
                </c:pt>
                <c:pt idx="105">
                  <c:v>7.4565799999999998</c:v>
                </c:pt>
                <c:pt idx="106">
                  <c:v>7.4962099999999996</c:v>
                </c:pt>
                <c:pt idx="107">
                  <c:v>3.816287</c:v>
                </c:pt>
                <c:pt idx="108">
                  <c:v>3.5730390000000001</c:v>
                </c:pt>
                <c:pt idx="109">
                  <c:v>4.725295</c:v>
                </c:pt>
                <c:pt idx="110">
                  <c:v>7.9148589999999999</c:v>
                </c:pt>
                <c:pt idx="111">
                  <c:v>9.770035</c:v>
                </c:pt>
                <c:pt idx="112">
                  <c:v>11.571096000000001</c:v>
                </c:pt>
                <c:pt idx="113">
                  <c:v>12.403953</c:v>
                </c:pt>
                <c:pt idx="114">
                  <c:v>14.001611</c:v>
                </c:pt>
                <c:pt idx="115">
                  <c:v>14.588303</c:v>
                </c:pt>
                <c:pt idx="116">
                  <c:v>13.724971</c:v>
                </c:pt>
                <c:pt idx="117">
                  <c:v>11.938573999999999</c:v>
                </c:pt>
                <c:pt idx="118">
                  <c:v>13.809532000000001</c:v>
                </c:pt>
                <c:pt idx="119">
                  <c:v>13.279894000000001</c:v>
                </c:pt>
                <c:pt idx="120">
                  <c:v>14.151869</c:v>
                </c:pt>
                <c:pt idx="121">
                  <c:v>13.539453999999999</c:v>
                </c:pt>
                <c:pt idx="122">
                  <c:v>13.230905</c:v>
                </c:pt>
                <c:pt idx="123">
                  <c:v>13.695479000000001</c:v>
                </c:pt>
                <c:pt idx="124">
                  <c:v>14.668282</c:v>
                </c:pt>
                <c:pt idx="125">
                  <c:v>16.086144000000001</c:v>
                </c:pt>
                <c:pt idx="126">
                  <c:v>15.443168</c:v>
                </c:pt>
                <c:pt idx="127">
                  <c:v>13.635539</c:v>
                </c:pt>
                <c:pt idx="128">
                  <c:v>13.401339999999999</c:v>
                </c:pt>
                <c:pt idx="129">
                  <c:v>12.881817</c:v>
                </c:pt>
                <c:pt idx="130">
                  <c:v>9.9948490000000003</c:v>
                </c:pt>
                <c:pt idx="131">
                  <c:v>10.006422000000001</c:v>
                </c:pt>
                <c:pt idx="132">
                  <c:v>10.229571</c:v>
                </c:pt>
                <c:pt idx="133">
                  <c:v>9.6595549999999992</c:v>
                </c:pt>
                <c:pt idx="134">
                  <c:v>9.7168170000000007</c:v>
                </c:pt>
                <c:pt idx="135">
                  <c:v>9.6495270000000009</c:v>
                </c:pt>
                <c:pt idx="136">
                  <c:v>10.161173</c:v>
                </c:pt>
                <c:pt idx="137">
                  <c:v>9.6882169999999999</c:v>
                </c:pt>
                <c:pt idx="138">
                  <c:v>10.833728000000001</c:v>
                </c:pt>
                <c:pt idx="139">
                  <c:v>11.113061999999999</c:v>
                </c:pt>
                <c:pt idx="140">
                  <c:v>13.000431000000001</c:v>
                </c:pt>
                <c:pt idx="141">
                  <c:v>11.445969</c:v>
                </c:pt>
                <c:pt idx="142">
                  <c:v>11.464145</c:v>
                </c:pt>
                <c:pt idx="143">
                  <c:v>11.390025</c:v>
                </c:pt>
                <c:pt idx="144">
                  <c:v>12.221939000000001</c:v>
                </c:pt>
                <c:pt idx="145">
                  <c:v>11.824786</c:v>
                </c:pt>
                <c:pt idx="146">
                  <c:v>12.00694</c:v>
                </c:pt>
                <c:pt idx="147">
                  <c:v>11.067646999999999</c:v>
                </c:pt>
                <c:pt idx="148">
                  <c:v>10.661144999999999</c:v>
                </c:pt>
                <c:pt idx="149">
                  <c:v>12.994483000000001</c:v>
                </c:pt>
                <c:pt idx="150">
                  <c:v>13.649361000000001</c:v>
                </c:pt>
                <c:pt idx="151">
                  <c:v>14.817421</c:v>
                </c:pt>
                <c:pt idx="152">
                  <c:v>13.391347</c:v>
                </c:pt>
                <c:pt idx="153">
                  <c:v>13.504552</c:v>
                </c:pt>
                <c:pt idx="154">
                  <c:v>13.092393</c:v>
                </c:pt>
                <c:pt idx="155">
                  <c:v>12.894598</c:v>
                </c:pt>
                <c:pt idx="156">
                  <c:v>12.603664</c:v>
                </c:pt>
                <c:pt idx="157">
                  <c:v>12.070136</c:v>
                </c:pt>
                <c:pt idx="158">
                  <c:v>10.288862</c:v>
                </c:pt>
                <c:pt idx="159">
                  <c:v>10.746594</c:v>
                </c:pt>
                <c:pt idx="160">
                  <c:v>6.7450380000000001</c:v>
                </c:pt>
                <c:pt idx="161">
                  <c:v>6.8367360000000001</c:v>
                </c:pt>
                <c:pt idx="162">
                  <c:v>8.9263639999999995</c:v>
                </c:pt>
                <c:pt idx="163">
                  <c:v>8.9754149999999999</c:v>
                </c:pt>
                <c:pt idx="164">
                  <c:v>7.9683330000000003</c:v>
                </c:pt>
                <c:pt idx="165">
                  <c:v>6.3123370000000003</c:v>
                </c:pt>
                <c:pt idx="166">
                  <c:v>5.9610830000000004</c:v>
                </c:pt>
                <c:pt idx="167">
                  <c:v>4.8381660000000002</c:v>
                </c:pt>
                <c:pt idx="168">
                  <c:v>5.4793269999999996</c:v>
                </c:pt>
                <c:pt idx="169">
                  <c:v>7.3440130000000003</c:v>
                </c:pt>
                <c:pt idx="170">
                  <c:v>7.2148839999999996</c:v>
                </c:pt>
                <c:pt idx="171">
                  <c:v>5.4565270000000003</c:v>
                </c:pt>
                <c:pt idx="172">
                  <c:v>3.6535009999999999</c:v>
                </c:pt>
                <c:pt idx="173">
                  <c:v>3.0456970000000001</c:v>
                </c:pt>
                <c:pt idx="174">
                  <c:v>3.9662320000000002</c:v>
                </c:pt>
                <c:pt idx="175">
                  <c:v>3.7580110000000002</c:v>
                </c:pt>
                <c:pt idx="176">
                  <c:v>4.5069249999999998</c:v>
                </c:pt>
                <c:pt idx="177">
                  <c:v>2.1241949999999998</c:v>
                </c:pt>
                <c:pt idx="178">
                  <c:v>1.9323319999999999</c:v>
                </c:pt>
                <c:pt idx="179">
                  <c:v>0.75351900000000005</c:v>
                </c:pt>
                <c:pt idx="180">
                  <c:v>0.84218199999999999</c:v>
                </c:pt>
                <c:pt idx="181">
                  <c:v>1.725816</c:v>
                </c:pt>
                <c:pt idx="182">
                  <c:v>1.0813010000000001</c:v>
                </c:pt>
                <c:pt idx="183">
                  <c:v>7.6410000000000006E-2</c:v>
                </c:pt>
                <c:pt idx="184">
                  <c:v>0</c:v>
                </c:pt>
                <c:pt idx="185">
                  <c:v>0.62909999999999999</c:v>
                </c:pt>
                <c:pt idx="186">
                  <c:v>1.844204</c:v>
                </c:pt>
                <c:pt idx="187">
                  <c:v>1.497695</c:v>
                </c:pt>
                <c:pt idx="188">
                  <c:v>1.6743110000000001</c:v>
                </c:pt>
                <c:pt idx="189">
                  <c:v>2.1693009999999999</c:v>
                </c:pt>
                <c:pt idx="190">
                  <c:v>2.2631619999999999</c:v>
                </c:pt>
                <c:pt idx="191">
                  <c:v>1.8615660000000001</c:v>
                </c:pt>
                <c:pt idx="192">
                  <c:v>2.3279049999999999</c:v>
                </c:pt>
                <c:pt idx="193">
                  <c:v>3.25047</c:v>
                </c:pt>
                <c:pt idx="194">
                  <c:v>3.9239039999999998</c:v>
                </c:pt>
                <c:pt idx="195">
                  <c:v>4.0480219999999996</c:v>
                </c:pt>
                <c:pt idx="196">
                  <c:v>5.6125309999999997</c:v>
                </c:pt>
                <c:pt idx="197">
                  <c:v>3.3765040000000002</c:v>
                </c:pt>
                <c:pt idx="198">
                  <c:v>2.6201680000000001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BA-4054-9610-E29520B80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828303"/>
        <c:axId val="2143257199"/>
      </c:scatterChart>
      <c:valAx>
        <c:axId val="1538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3257199"/>
        <c:crosses val="autoZero"/>
        <c:crossBetween val="midCat"/>
      </c:valAx>
      <c:valAx>
        <c:axId val="214325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38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C-V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Correlazione!$C$3:$C$202</c:f>
              <c:numCache>
                <c:formatCode>General</c:formatCode>
                <c:ptCount val="200"/>
                <c:pt idx="0">
                  <c:v>0.1630268301352043</c:v>
                </c:pt>
                <c:pt idx="1">
                  <c:v>0.12492522153141586</c:v>
                </c:pt>
                <c:pt idx="2">
                  <c:v>1.099894123266038</c:v>
                </c:pt>
                <c:pt idx="3">
                  <c:v>0.22292617776071683</c:v>
                </c:pt>
                <c:pt idx="4">
                  <c:v>3.0784382253475795</c:v>
                </c:pt>
                <c:pt idx="5">
                  <c:v>0.84999755760170759</c:v>
                </c:pt>
                <c:pt idx="6">
                  <c:v>1.8916750693976851</c:v>
                </c:pt>
                <c:pt idx="7">
                  <c:v>0.38460590435169284</c:v>
                </c:pt>
                <c:pt idx="8">
                  <c:v>2.4238232532262831</c:v>
                </c:pt>
                <c:pt idx="9">
                  <c:v>0.19253325806886881</c:v>
                </c:pt>
                <c:pt idx="10">
                  <c:v>0.42178072712672238</c:v>
                </c:pt>
                <c:pt idx="11">
                  <c:v>2.8495650491379494</c:v>
                </c:pt>
                <c:pt idx="12">
                  <c:v>0.6103188125865765</c:v>
                </c:pt>
                <c:pt idx="13">
                  <c:v>1.3340281009434016</c:v>
                </c:pt>
                <c:pt idx="14">
                  <c:v>1.3604587914161461</c:v>
                </c:pt>
                <c:pt idx="15">
                  <c:v>0.63122735479312486</c:v>
                </c:pt>
                <c:pt idx="16">
                  <c:v>0.78153818504112516</c:v>
                </c:pt>
                <c:pt idx="17">
                  <c:v>0.54405768511585817</c:v>
                </c:pt>
                <c:pt idx="18">
                  <c:v>1.5855182867319852</c:v>
                </c:pt>
                <c:pt idx="19">
                  <c:v>1.0569723159624804</c:v>
                </c:pt>
                <c:pt idx="20">
                  <c:v>0.38639622248782279</c:v>
                </c:pt>
                <c:pt idx="21">
                  <c:v>0.25395536467794155</c:v>
                </c:pt>
                <c:pt idx="22">
                  <c:v>0.2615390977573806</c:v>
                </c:pt>
                <c:pt idx="23">
                  <c:v>1.0284097879273535</c:v>
                </c:pt>
                <c:pt idx="24">
                  <c:v>0.66596535845418936</c:v>
                </c:pt>
                <c:pt idx="25">
                  <c:v>0.86974474619687037</c:v>
                </c:pt>
                <c:pt idx="26">
                  <c:v>0.81413422960942816</c:v>
                </c:pt>
                <c:pt idx="27">
                  <c:v>0.11163250697415447</c:v>
                </c:pt>
                <c:pt idx="28">
                  <c:v>0.32761426824205792</c:v>
                </c:pt>
                <c:pt idx="29">
                  <c:v>0.34670793164829561</c:v>
                </c:pt>
                <c:pt idx="30">
                  <c:v>2.3754649172683542</c:v>
                </c:pt>
                <c:pt idx="31">
                  <c:v>2.1887842735422947</c:v>
                </c:pt>
                <c:pt idx="32">
                  <c:v>1.6088468836086005</c:v>
                </c:pt>
                <c:pt idx="33">
                  <c:v>1.9874166350091298</c:v>
                </c:pt>
                <c:pt idx="34">
                  <c:v>1.857529160688455</c:v>
                </c:pt>
                <c:pt idx="35">
                  <c:v>4.8102282695440834</c:v>
                </c:pt>
                <c:pt idx="36">
                  <c:v>0.14662797683364343</c:v>
                </c:pt>
                <c:pt idx="37">
                  <c:v>0.56551933956918721</c:v>
                </c:pt>
                <c:pt idx="38">
                  <c:v>1.6607351279033609</c:v>
                </c:pt>
                <c:pt idx="39">
                  <c:v>0.18595752748526523</c:v>
                </c:pt>
                <c:pt idx="40">
                  <c:v>0.61087468676940793</c:v>
                </c:pt>
                <c:pt idx="41">
                  <c:v>0.40709142507902857</c:v>
                </c:pt>
                <c:pt idx="42">
                  <c:v>1.7473991649057752</c:v>
                </c:pt>
                <c:pt idx="43">
                  <c:v>7.740692396311713E-2</c:v>
                </c:pt>
                <c:pt idx="44">
                  <c:v>0.50741326409748944</c:v>
                </c:pt>
                <c:pt idx="45">
                  <c:v>1.3759039089946299</c:v>
                </c:pt>
                <c:pt idx="46">
                  <c:v>0.44809079404533175</c:v>
                </c:pt>
                <c:pt idx="47">
                  <c:v>1.7393065038129789</c:v>
                </c:pt>
                <c:pt idx="48">
                  <c:v>0.27935710116008022</c:v>
                </c:pt>
                <c:pt idx="49">
                  <c:v>2.5899439098580888</c:v>
                </c:pt>
                <c:pt idx="50">
                  <c:v>0.40202999087076841</c:v>
                </c:pt>
                <c:pt idx="51">
                  <c:v>0.84425347379127336</c:v>
                </c:pt>
                <c:pt idx="52">
                  <c:v>0.62084881078203713</c:v>
                </c:pt>
                <c:pt idx="53">
                  <c:v>1.3163468525251425</c:v>
                </c:pt>
                <c:pt idx="54">
                  <c:v>0.67787476029005589</c:v>
                </c:pt>
                <c:pt idx="55">
                  <c:v>1.2034410396654105</c:v>
                </c:pt>
                <c:pt idx="56">
                  <c:v>1.4681589871833611</c:v>
                </c:pt>
                <c:pt idx="57">
                  <c:v>0.93600380123939042</c:v>
                </c:pt>
                <c:pt idx="58">
                  <c:v>0.45510364499736983</c:v>
                </c:pt>
                <c:pt idx="59">
                  <c:v>0.14448138313101799</c:v>
                </c:pt>
                <c:pt idx="60">
                  <c:v>0.80604538089549072</c:v>
                </c:pt>
                <c:pt idx="61">
                  <c:v>0.77834017895972951</c:v>
                </c:pt>
                <c:pt idx="62">
                  <c:v>0.29659849874619648</c:v>
                </c:pt>
                <c:pt idx="63">
                  <c:v>1.9812820124167139</c:v>
                </c:pt>
                <c:pt idx="64">
                  <c:v>0.23388897604770048</c:v>
                </c:pt>
                <c:pt idx="65">
                  <c:v>0.27020458854512203</c:v>
                </c:pt>
                <c:pt idx="66">
                  <c:v>1.1215925685252424</c:v>
                </c:pt>
                <c:pt idx="67">
                  <c:v>0.20230957557635465</c:v>
                </c:pt>
                <c:pt idx="68">
                  <c:v>0.21666767136042006</c:v>
                </c:pt>
                <c:pt idx="69">
                  <c:v>0.7387924305032465</c:v>
                </c:pt>
                <c:pt idx="70">
                  <c:v>0.57172686259419081</c:v>
                </c:pt>
                <c:pt idx="71">
                  <c:v>2.3127147405896107</c:v>
                </c:pt>
                <c:pt idx="72">
                  <c:v>0.87807723273978844</c:v>
                </c:pt>
                <c:pt idx="73">
                  <c:v>1.4280958233570746</c:v>
                </c:pt>
                <c:pt idx="74">
                  <c:v>9.270726077438271E-2</c:v>
                </c:pt>
                <c:pt idx="75">
                  <c:v>1.4757579338892839</c:v>
                </c:pt>
                <c:pt idx="76">
                  <c:v>0.50096267837803343</c:v>
                </c:pt>
                <c:pt idx="77">
                  <c:v>0.39622726834585992</c:v>
                </c:pt>
                <c:pt idx="78">
                  <c:v>1.1453582220895058</c:v>
                </c:pt>
                <c:pt idx="79">
                  <c:v>1.1174234529762892</c:v>
                </c:pt>
                <c:pt idx="80">
                  <c:v>5.8647842154474036E-2</c:v>
                </c:pt>
                <c:pt idx="81">
                  <c:v>0.32252470874249445</c:v>
                </c:pt>
                <c:pt idx="82">
                  <c:v>2.0538831283705141</c:v>
                </c:pt>
                <c:pt idx="83">
                  <c:v>0.17310088356607456</c:v>
                </c:pt>
                <c:pt idx="84">
                  <c:v>0.70750704145045384</c:v>
                </c:pt>
                <c:pt idx="85">
                  <c:v>0.89645019346372612</c:v>
                </c:pt>
                <c:pt idx="86">
                  <c:v>0.88491062821175648</c:v>
                </c:pt>
                <c:pt idx="87">
                  <c:v>1.1017686797092123</c:v>
                </c:pt>
                <c:pt idx="88">
                  <c:v>0.61608449825234102</c:v>
                </c:pt>
                <c:pt idx="89">
                  <c:v>1.8106271420455988</c:v>
                </c:pt>
                <c:pt idx="90">
                  <c:v>1.6816186057587581</c:v>
                </c:pt>
                <c:pt idx="91">
                  <c:v>0.25906213622385227</c:v>
                </c:pt>
                <c:pt idx="92">
                  <c:v>2.2371509477525873</c:v>
                </c:pt>
                <c:pt idx="93">
                  <c:v>0.99609860400104311</c:v>
                </c:pt>
                <c:pt idx="94">
                  <c:v>1.3055841162507651</c:v>
                </c:pt>
                <c:pt idx="95">
                  <c:v>0.19584486044246857</c:v>
                </c:pt>
                <c:pt idx="96">
                  <c:v>1.8395673983702259</c:v>
                </c:pt>
                <c:pt idx="97">
                  <c:v>1.9843495105408853</c:v>
                </c:pt>
                <c:pt idx="98">
                  <c:v>0.81604938688486539</c:v>
                </c:pt>
                <c:pt idx="99">
                  <c:v>2.1983776539168889</c:v>
                </c:pt>
                <c:pt idx="100">
                  <c:v>0.36657628848208212</c:v>
                </c:pt>
                <c:pt idx="101">
                  <c:v>0.77587857242956171</c:v>
                </c:pt>
                <c:pt idx="102">
                  <c:v>0.42993066579796274</c:v>
                </c:pt>
                <c:pt idx="103">
                  <c:v>0.73969720986086163</c:v>
                </c:pt>
                <c:pt idx="104">
                  <c:v>0.94344328207957751</c:v>
                </c:pt>
                <c:pt idx="105">
                  <c:v>0.28026747393597745</c:v>
                </c:pt>
                <c:pt idx="106">
                  <c:v>0.13699412247287826</c:v>
                </c:pt>
                <c:pt idx="107">
                  <c:v>0.27342230827281999</c:v>
                </c:pt>
                <c:pt idx="108">
                  <c:v>2.054508666810162</c:v>
                </c:pt>
                <c:pt idx="109">
                  <c:v>4.5659183442442561</c:v>
                </c:pt>
                <c:pt idx="110">
                  <c:v>2.0555499637274313</c:v>
                </c:pt>
                <c:pt idx="111">
                  <c:v>1.8808025416528642</c:v>
                </c:pt>
                <c:pt idx="112">
                  <c:v>1.5465535749693331</c:v>
                </c:pt>
                <c:pt idx="113">
                  <c:v>1.6854020346331697</c:v>
                </c:pt>
                <c:pt idx="114">
                  <c:v>0.76340059201566912</c:v>
                </c:pt>
                <c:pt idx="115">
                  <c:v>0.26274979950784766</c:v>
                </c:pt>
                <c:pt idx="116">
                  <c:v>0.47594504162110124</c:v>
                </c:pt>
                <c:pt idx="117">
                  <c:v>1.9593116830500594</c:v>
                </c:pt>
                <c:pt idx="118">
                  <c:v>8.8221544134496649E-2</c:v>
                </c:pt>
                <c:pt idx="119">
                  <c:v>1.0451052086872576</c:v>
                </c:pt>
                <c:pt idx="120">
                  <c:v>0.84542814373460373</c:v>
                </c:pt>
                <c:pt idx="121">
                  <c:v>0.81883961366251901</c:v>
                </c:pt>
                <c:pt idx="122">
                  <c:v>1.2250521978587154</c:v>
                </c:pt>
                <c:pt idx="123">
                  <c:v>3.1865967308223655</c:v>
                </c:pt>
                <c:pt idx="124">
                  <c:v>1.6786922137141815</c:v>
                </c:pt>
                <c:pt idx="125">
                  <c:v>0.39298790494010494</c:v>
                </c:pt>
                <c:pt idx="126">
                  <c:v>0.77825148597675176</c:v>
                </c:pt>
                <c:pt idx="127">
                  <c:v>0.49414047644125247</c:v>
                </c:pt>
                <c:pt idx="128">
                  <c:v>0.42337468621590929</c:v>
                </c:pt>
                <c:pt idx="129">
                  <c:v>0.35297673369632432</c:v>
                </c:pt>
                <c:pt idx="130">
                  <c:v>0.51213387832869683</c:v>
                </c:pt>
                <c:pt idx="131">
                  <c:v>1.5342789626667528</c:v>
                </c:pt>
                <c:pt idx="132">
                  <c:v>0.7201403378403276</c:v>
                </c:pt>
                <c:pt idx="133">
                  <c:v>0.34724761527017112</c:v>
                </c:pt>
                <c:pt idx="134">
                  <c:v>0.33265955967271543</c:v>
                </c:pt>
                <c:pt idx="135">
                  <c:v>1.4522968105886493</c:v>
                </c:pt>
                <c:pt idx="136">
                  <c:v>0.65332061875684122</c:v>
                </c:pt>
                <c:pt idx="137">
                  <c:v>1.2345435471872461</c:v>
                </c:pt>
                <c:pt idx="138">
                  <c:v>0.48171789499664136</c:v>
                </c:pt>
                <c:pt idx="139">
                  <c:v>2.2961648409304272</c:v>
                </c:pt>
                <c:pt idx="140">
                  <c:v>0.8390584427225708</c:v>
                </c:pt>
                <c:pt idx="141">
                  <c:v>0.30786563570205533</c:v>
                </c:pt>
                <c:pt idx="142">
                  <c:v>0.39773374803050948</c:v>
                </c:pt>
                <c:pt idx="143">
                  <c:v>0.89069048913163607</c:v>
                </c:pt>
                <c:pt idx="144">
                  <c:v>0.76511501281285277</c:v>
                </c:pt>
                <c:pt idx="145">
                  <c:v>2.0379856222376072</c:v>
                </c:pt>
                <c:pt idx="146">
                  <c:v>0.18745356999259721</c:v>
                </c:pt>
                <c:pt idx="147">
                  <c:v>3.4197234585096998</c:v>
                </c:pt>
                <c:pt idx="148">
                  <c:v>2.4746752397149807</c:v>
                </c:pt>
                <c:pt idx="149">
                  <c:v>1.0295752056981418</c:v>
                </c:pt>
                <c:pt idx="150">
                  <c:v>1.4878201691539725</c:v>
                </c:pt>
                <c:pt idx="151">
                  <c:v>0.16108605534717996</c:v>
                </c:pt>
                <c:pt idx="152">
                  <c:v>0.52440894784729186</c:v>
                </c:pt>
                <c:pt idx="153">
                  <c:v>0.22752506308065329</c:v>
                </c:pt>
                <c:pt idx="154">
                  <c:v>0.81347086781261568</c:v>
                </c:pt>
                <c:pt idx="155">
                  <c:v>6.0294362068341718E-2</c:v>
                </c:pt>
                <c:pt idx="156">
                  <c:v>8.9601319104318775E-2</c:v>
                </c:pt>
                <c:pt idx="157">
                  <c:v>0.51385148228406696</c:v>
                </c:pt>
                <c:pt idx="158">
                  <c:v>1.2626355224387</c:v>
                </c:pt>
                <c:pt idx="159">
                  <c:v>0.9151267362887795</c:v>
                </c:pt>
                <c:pt idx="160">
                  <c:v>0.55411814949693328</c:v>
                </c:pt>
                <c:pt idx="161">
                  <c:v>3.0190210720677859</c:v>
                </c:pt>
                <c:pt idx="162">
                  <c:v>9.392433416179799E-2</c:v>
                </c:pt>
                <c:pt idx="163">
                  <c:v>5.1874958026793185E-2</c:v>
                </c:pt>
                <c:pt idx="164">
                  <c:v>9.2654547105591248E-2</c:v>
                </c:pt>
                <c:pt idx="165">
                  <c:v>0.20052951645181216</c:v>
                </c:pt>
                <c:pt idx="166">
                  <c:v>0.47569545572107241</c:v>
                </c:pt>
                <c:pt idx="167">
                  <c:v>0.74722185547624431</c:v>
                </c:pt>
                <c:pt idx="168">
                  <c:v>2.1357866672063648</c:v>
                </c:pt>
                <c:pt idx="169">
                  <c:v>0.13416235454680076</c:v>
                </c:pt>
                <c:pt idx="170">
                  <c:v>0.52344199625378851</c:v>
                </c:pt>
                <c:pt idx="171">
                  <c:v>0.42761250200484302</c:v>
                </c:pt>
                <c:pt idx="172">
                  <c:v>1.6237343452711797</c:v>
                </c:pt>
                <c:pt idx="173">
                  <c:v>1.8252280310305675</c:v>
                </c:pt>
                <c:pt idx="174">
                  <c:v>0.21709262836649268</c:v>
                </c:pt>
                <c:pt idx="175">
                  <c:v>1.5148609214391482</c:v>
                </c:pt>
                <c:pt idx="176">
                  <c:v>0.22762824535217718</c:v>
                </c:pt>
                <c:pt idx="177">
                  <c:v>0.56139483724905082</c:v>
                </c:pt>
                <c:pt idx="178">
                  <c:v>0.99353406051388105</c:v>
                </c:pt>
                <c:pt idx="179">
                  <c:v>1.0451530220180738</c:v>
                </c:pt>
                <c:pt idx="180">
                  <c:v>0.94087399236301106</c:v>
                </c:pt>
                <c:pt idx="181">
                  <c:v>1.5401230768770491</c:v>
                </c:pt>
                <c:pt idx="182">
                  <c:v>0.43803895225735318</c:v>
                </c:pt>
                <c:pt idx="183">
                  <c:v>0.64832377997138779</c:v>
                </c:pt>
                <c:pt idx="184">
                  <c:v>1.5079798975940573</c:v>
                </c:pt>
                <c:pt idx="185">
                  <c:v>1.6774665023090711</c:v>
                </c:pt>
                <c:pt idx="186">
                  <c:v>0.22768448639979968</c:v>
                </c:pt>
                <c:pt idx="187">
                  <c:v>0.17681099749225213</c:v>
                </c:pt>
                <c:pt idx="188">
                  <c:v>0.93522596262696533</c:v>
                </c:pt>
                <c:pt idx="189">
                  <c:v>0.3926217788639364</c:v>
                </c:pt>
                <c:pt idx="190">
                  <c:v>0.18284191293291308</c:v>
                </c:pt>
                <c:pt idx="191">
                  <c:v>0.47142259276653742</c:v>
                </c:pt>
                <c:pt idx="192">
                  <c:v>1.330425856739718</c:v>
                </c:pt>
                <c:pt idx="193">
                  <c:v>0.95912838161670233</c:v>
                </c:pt>
                <c:pt idx="194">
                  <c:v>0.85809809731102282</c:v>
                </c:pt>
                <c:pt idx="195">
                  <c:v>2.4582587654953878</c:v>
                </c:pt>
                <c:pt idx="196">
                  <c:v>0.25116288253052738</c:v>
                </c:pt>
                <c:pt idx="197">
                  <c:v>1.8351512750788597</c:v>
                </c:pt>
                <c:pt idx="198">
                  <c:v>1.3446443531398178</c:v>
                </c:pt>
                <c:pt idx="199">
                  <c:v>0.39361924628116685</c:v>
                </c:pt>
              </c:numCache>
            </c:numRef>
          </c:xVal>
          <c:yVal>
            <c:numRef>
              <c:f>Correlazione!$E$3:$E$202</c:f>
              <c:numCache>
                <c:formatCode>General</c:formatCode>
                <c:ptCount val="200"/>
                <c:pt idx="0">
                  <c:v>0.16302683013520436</c:v>
                </c:pt>
                <c:pt idx="1">
                  <c:v>0.12492522153141605</c:v>
                </c:pt>
                <c:pt idx="2">
                  <c:v>1.0998941232660382</c:v>
                </c:pt>
                <c:pt idx="3">
                  <c:v>0.22292617776071655</c:v>
                </c:pt>
                <c:pt idx="4">
                  <c:v>3.078438225347579</c:v>
                </c:pt>
                <c:pt idx="5">
                  <c:v>3.6941095760077332</c:v>
                </c:pt>
                <c:pt idx="6">
                  <c:v>4.6692263603662933</c:v>
                </c:pt>
                <c:pt idx="7">
                  <c:v>3.8778745597080526</c:v>
                </c:pt>
                <c:pt idx="8">
                  <c:v>4.7452907440959162</c:v>
                </c:pt>
                <c:pt idx="9">
                  <c:v>4.4043622147494208</c:v>
                </c:pt>
                <c:pt idx="10">
                  <c:v>4.2118301212878695</c:v>
                </c:pt>
                <c:pt idx="11">
                  <c:v>5.2033735369825216</c:v>
                </c:pt>
                <c:pt idx="12">
                  <c:v>5.7167339615153168</c:v>
                </c:pt>
                <c:pt idx="13">
                  <c:v>6.3932375616855897</c:v>
                </c:pt>
                <c:pt idx="14">
                  <c:v>6.2016207181965477</c:v>
                </c:pt>
                <c:pt idx="15">
                  <c:v>6.8194455173150281</c:v>
                </c:pt>
                <c:pt idx="16">
                  <c:v>4.047551588463822</c:v>
                </c:pt>
                <c:pt idx="17">
                  <c:v>4.461548953947247</c:v>
                </c:pt>
                <c:pt idx="18">
                  <c:v>5.5694747188511471</c:v>
                </c:pt>
                <c:pt idx="19">
                  <c:v>5.8967238586785662</c:v>
                </c:pt>
                <c:pt idx="20">
                  <c:v>2.6509465123359988</c:v>
                </c:pt>
                <c:pt idx="21">
                  <c:v>2.3128888432715939</c:v>
                </c:pt>
                <c:pt idx="22">
                  <c:v>0.99303666322397177</c:v>
                </c:pt>
                <c:pt idx="23">
                  <c:v>1.8225063007713658</c:v>
                </c:pt>
                <c:pt idx="24">
                  <c:v>1.1507699849162343</c:v>
                </c:pt>
                <c:pt idx="25">
                  <c:v>1.3578108471875332</c:v>
                </c:pt>
                <c:pt idx="26">
                  <c:v>0.90896829558382919</c:v>
                </c:pt>
                <c:pt idx="27">
                  <c:v>0.1116325069741535</c:v>
                </c:pt>
                <c:pt idx="28">
                  <c:v>0.32761426824205842</c:v>
                </c:pt>
                <c:pt idx="29">
                  <c:v>0.34670793164829661</c:v>
                </c:pt>
                <c:pt idx="30">
                  <c:v>2.3754649172683528</c:v>
                </c:pt>
                <c:pt idx="31">
                  <c:v>4.541592095884539</c:v>
                </c:pt>
                <c:pt idx="32">
                  <c:v>5.8831755677786646</c:v>
                </c:pt>
                <c:pt idx="33">
                  <c:v>7.6788741912904754</c:v>
                </c:pt>
                <c:pt idx="34">
                  <c:v>8.116138394093241</c:v>
                </c:pt>
                <c:pt idx="35">
                  <c:v>12.149344747098056</c:v>
                </c:pt>
                <c:pt idx="36">
                  <c:v>12.221619424995133</c:v>
                </c:pt>
                <c:pt idx="37">
                  <c:v>12.562127417789142</c:v>
                </c:pt>
                <c:pt idx="38">
                  <c:v>13.007069434445505</c:v>
                </c:pt>
                <c:pt idx="39">
                  <c:v>12.165053267587716</c:v>
                </c:pt>
                <c:pt idx="40">
                  <c:v>8.5954089731147434</c:v>
                </c:pt>
                <c:pt idx="41">
                  <c:v>7.1662179399472095</c:v>
                </c:pt>
                <c:pt idx="42">
                  <c:v>8.8311205344963142</c:v>
                </c:pt>
                <c:pt idx="43">
                  <c:v>8.3858089158305376</c:v>
                </c:pt>
                <c:pt idx="44">
                  <c:v>8.8271035258544046</c:v>
                </c:pt>
                <c:pt idx="45">
                  <c:v>10.082768842702237</c:v>
                </c:pt>
                <c:pt idx="46">
                  <c:v>10.141089805890736</c:v>
                </c:pt>
                <c:pt idx="47">
                  <c:v>9.659663370570847</c:v>
                </c:pt>
                <c:pt idx="48">
                  <c:v>9.5702125592010177</c:v>
                </c:pt>
                <c:pt idx="49">
                  <c:v>10.078960443850569</c:v>
                </c:pt>
                <c:pt idx="50">
                  <c:v>10.269186777998719</c:v>
                </c:pt>
                <c:pt idx="51">
                  <c:v>11.060667363171099</c:v>
                </c:pt>
                <c:pt idx="52">
                  <c:v>9.154072503005743</c:v>
                </c:pt>
                <c:pt idx="53">
                  <c:v>9.8103756241499482</c:v>
                </c:pt>
                <c:pt idx="54">
                  <c:v>10.209364884316074</c:v>
                </c:pt>
                <c:pt idx="55">
                  <c:v>9.5021569260543046</c:v>
                </c:pt>
                <c:pt idx="56">
                  <c:v>10.504890540627855</c:v>
                </c:pt>
                <c:pt idx="57">
                  <c:v>10.607449747898258</c:v>
                </c:pt>
                <c:pt idx="58">
                  <c:v>7.2278606554858413</c:v>
                </c:pt>
                <c:pt idx="59">
                  <c:v>6.0891089421254065</c:v>
                </c:pt>
                <c:pt idx="60">
                  <c:v>6.1134218011432466</c:v>
                </c:pt>
                <c:pt idx="61">
                  <c:v>6.1911568305109341</c:v>
                </c:pt>
                <c:pt idx="62">
                  <c:v>5.7821520577818006</c:v>
                </c:pt>
                <c:pt idx="63">
                  <c:v>7.0519417487125082</c:v>
                </c:pt>
                <c:pt idx="64">
                  <c:v>7.0297615878061208</c:v>
                </c:pt>
                <c:pt idx="65">
                  <c:v>7.2718139322329165</c:v>
                </c:pt>
                <c:pt idx="66">
                  <c:v>8.2749861510337297</c:v>
                </c:pt>
                <c:pt idx="67">
                  <c:v>8.1289887663474616</c:v>
                </c:pt>
                <c:pt idx="68">
                  <c:v>7.4315481491989033</c:v>
                </c:pt>
                <c:pt idx="69">
                  <c:v>7.0054262576983319</c:v>
                </c:pt>
                <c:pt idx="70">
                  <c:v>6.3165885292645925</c:v>
                </c:pt>
                <c:pt idx="71">
                  <c:v>6.2215151131216828</c:v>
                </c:pt>
                <c:pt idx="72">
                  <c:v>6.2979168120666174</c:v>
                </c:pt>
                <c:pt idx="73">
                  <c:v>7.5155833759888395</c:v>
                </c:pt>
                <c:pt idx="74">
                  <c:v>6.5869615342404302</c:v>
                </c:pt>
                <c:pt idx="75">
                  <c:v>3.7124487799706287</c:v>
                </c:pt>
                <c:pt idx="76">
                  <c:v>2.9892149945781483</c:v>
                </c:pt>
                <c:pt idx="77">
                  <c:v>3.2524309098551214</c:v>
                </c:pt>
                <c:pt idx="78">
                  <c:v>2.679725237918575</c:v>
                </c:pt>
                <c:pt idx="79">
                  <c:v>2.5628304082543565</c:v>
                </c:pt>
                <c:pt idx="80">
                  <c:v>2.3478188109106242</c:v>
                </c:pt>
                <c:pt idx="81">
                  <c:v>1.5625645820201441</c:v>
                </c:pt>
                <c:pt idx="82">
                  <c:v>3.2455324459891557</c:v>
                </c:pt>
                <c:pt idx="83">
                  <c:v>2.1371847406796718</c:v>
                </c:pt>
                <c:pt idx="84">
                  <c:v>2.6257647905066932</c:v>
                </c:pt>
                <c:pt idx="85">
                  <c:v>0.99410375321167521</c:v>
                </c:pt>
                <c:pt idx="86">
                  <c:v>1.6380602904291948</c:v>
                </c:pt>
                <c:pt idx="87">
                  <c:v>1.8643982300157376</c:v>
                </c:pt>
                <c:pt idx="88">
                  <c:v>1.7502850617375572</c:v>
                </c:pt>
                <c:pt idx="89">
                  <c:v>3.5231475619780497</c:v>
                </c:pt>
                <c:pt idx="90">
                  <c:v>5.109178004596501</c:v>
                </c:pt>
                <c:pt idx="91">
                  <c:v>5.1044869648196851</c:v>
                </c:pt>
                <c:pt idx="92">
                  <c:v>5.0666413154428227</c:v>
                </c:pt>
                <c:pt idx="93">
                  <c:v>5.4186800946666551</c:v>
                </c:pt>
                <c:pt idx="94">
                  <c:v>6.2883785183295799</c:v>
                </c:pt>
                <c:pt idx="95">
                  <c:v>6.3972308123943122</c:v>
                </c:pt>
                <c:pt idx="96">
                  <c:v>7.8837891440401222</c:v>
                </c:pt>
                <c:pt idx="97">
                  <c:v>9.7659445512970393</c:v>
                </c:pt>
                <c:pt idx="98">
                  <c:v>10.328787958064865</c:v>
                </c:pt>
                <c:pt idx="99">
                  <c:v>11.928344456125487</c:v>
                </c:pt>
                <c:pt idx="100">
                  <c:v>12.189357172722353</c:v>
                </c:pt>
                <c:pt idx="101">
                  <c:v>12.447750785635293</c:v>
                </c:pt>
                <c:pt idx="102">
                  <c:v>8.9610234541020901</c:v>
                </c:pt>
                <c:pt idx="103">
                  <c:v>7.6418993778684552</c:v>
                </c:pt>
                <c:pt idx="104">
                  <c:v>7.733884109200531</c:v>
                </c:pt>
                <c:pt idx="105">
                  <c:v>7.7368477990808913</c:v>
                </c:pt>
                <c:pt idx="106">
                  <c:v>7.6332040806977091</c:v>
                </c:pt>
                <c:pt idx="107">
                  <c:v>4.0897093241681404</c:v>
                </c:pt>
                <c:pt idx="108">
                  <c:v>5.6275473444323296</c:v>
                </c:pt>
                <c:pt idx="109">
                  <c:v>9.2912129404033266</c:v>
                </c:pt>
                <c:pt idx="110">
                  <c:v>9.9704091781110122</c:v>
                </c:pt>
                <c:pt idx="111">
                  <c:v>11.650837709568606</c:v>
                </c:pt>
                <c:pt idx="112">
                  <c:v>13.117650068324735</c:v>
                </c:pt>
                <c:pt idx="113">
                  <c:v>14.08935524366504</c:v>
                </c:pt>
                <c:pt idx="114">
                  <c:v>14.765011311949593</c:v>
                </c:pt>
                <c:pt idx="115">
                  <c:v>14.851052591466342</c:v>
                </c:pt>
                <c:pt idx="116">
                  <c:v>14.200915769142895</c:v>
                </c:pt>
                <c:pt idx="117">
                  <c:v>13.897885234679904</c:v>
                </c:pt>
                <c:pt idx="118">
                  <c:v>13.897753506205447</c:v>
                </c:pt>
                <c:pt idx="119">
                  <c:v>14.324999503791489</c:v>
                </c:pt>
                <c:pt idx="120">
                  <c:v>14.997297560302769</c:v>
                </c:pt>
                <c:pt idx="121">
                  <c:v>14.358293912469918</c:v>
                </c:pt>
                <c:pt idx="122">
                  <c:v>14.455957457161077</c:v>
                </c:pt>
                <c:pt idx="123">
                  <c:v>16.882076127863144</c:v>
                </c:pt>
                <c:pt idx="124">
                  <c:v>16.346974006586777</c:v>
                </c:pt>
                <c:pt idx="125">
                  <c:v>16.479132338001051</c:v>
                </c:pt>
                <c:pt idx="126">
                  <c:v>16.221419409217845</c:v>
                </c:pt>
                <c:pt idx="127">
                  <c:v>14.129679828506809</c:v>
                </c:pt>
                <c:pt idx="128">
                  <c:v>13.824714353250329</c:v>
                </c:pt>
                <c:pt idx="129">
                  <c:v>13.234793539680709</c:v>
                </c:pt>
                <c:pt idx="130">
                  <c:v>10.506983326447653</c:v>
                </c:pt>
                <c:pt idx="131">
                  <c:v>11.540700556459996</c:v>
                </c:pt>
                <c:pt idx="132">
                  <c:v>10.949711464307342</c:v>
                </c:pt>
                <c:pt idx="133">
                  <c:v>10.006802531045793</c:v>
                </c:pt>
                <c:pt idx="134">
                  <c:v>10.049476781485453</c:v>
                </c:pt>
                <c:pt idx="135">
                  <c:v>11.101823334128966</c:v>
                </c:pt>
                <c:pt idx="136">
                  <c:v>10.814493823038447</c:v>
                </c:pt>
                <c:pt idx="137">
                  <c:v>10.922760742208624</c:v>
                </c:pt>
                <c:pt idx="138">
                  <c:v>11.315446150066265</c:v>
                </c:pt>
                <c:pt idx="139">
                  <c:v>13.409226959024693</c:v>
                </c:pt>
                <c:pt idx="140">
                  <c:v>13.839489061692404</c:v>
                </c:pt>
                <c:pt idx="141">
                  <c:v>11.753834547187324</c:v>
                </c:pt>
                <c:pt idx="142">
                  <c:v>11.861878574748886</c:v>
                </c:pt>
                <c:pt idx="143">
                  <c:v>12.280715092910441</c:v>
                </c:pt>
                <c:pt idx="144">
                  <c:v>12.987053799175328</c:v>
                </c:pt>
                <c:pt idx="145">
                  <c:v>13.862771456492993</c:v>
                </c:pt>
                <c:pt idx="146">
                  <c:v>12.194393958464559</c:v>
                </c:pt>
                <c:pt idx="147">
                  <c:v>14.487370440675392</c:v>
                </c:pt>
                <c:pt idx="148">
                  <c:v>13.135820274212193</c:v>
                </c:pt>
                <c:pt idx="149">
                  <c:v>14.024058606570605</c:v>
                </c:pt>
                <c:pt idx="150">
                  <c:v>15.13718072665003</c:v>
                </c:pt>
                <c:pt idx="151">
                  <c:v>14.978506681688685</c:v>
                </c:pt>
                <c:pt idx="152">
                  <c:v>13.915755728381441</c:v>
                </c:pt>
                <c:pt idx="153">
                  <c:v>13.732077081589722</c:v>
                </c:pt>
                <c:pt idx="154">
                  <c:v>13.905863492091896</c:v>
                </c:pt>
                <c:pt idx="155">
                  <c:v>12.954892447756464</c:v>
                </c:pt>
                <c:pt idx="156">
                  <c:v>12.693265527027847</c:v>
                </c:pt>
                <c:pt idx="157">
                  <c:v>12.583987848116095</c:v>
                </c:pt>
                <c:pt idx="158">
                  <c:v>11.55149702528675</c:v>
                </c:pt>
                <c:pt idx="159">
                  <c:v>11.661720993110038</c:v>
                </c:pt>
                <c:pt idx="160">
                  <c:v>7.2991558653806692</c:v>
                </c:pt>
                <c:pt idx="161">
                  <c:v>9.8557567447116696</c:v>
                </c:pt>
                <c:pt idx="162">
                  <c:v>9.0202879006301373</c:v>
                </c:pt>
                <c:pt idx="163">
                  <c:v>9.0272895406224336</c:v>
                </c:pt>
                <c:pt idx="164">
                  <c:v>8.0609880464190837</c:v>
                </c:pt>
                <c:pt idx="165">
                  <c:v>6.5128663760951326</c:v>
                </c:pt>
                <c:pt idx="166">
                  <c:v>6.4367782621786773</c:v>
                </c:pt>
                <c:pt idx="167">
                  <c:v>5.5853875422224633</c:v>
                </c:pt>
                <c:pt idx="168">
                  <c:v>7.6151140108362654</c:v>
                </c:pt>
                <c:pt idx="169">
                  <c:v>7.4781758457976366</c:v>
                </c:pt>
                <c:pt idx="170">
                  <c:v>7.7383260733215593</c:v>
                </c:pt>
                <c:pt idx="171">
                  <c:v>5.8841390655275063</c:v>
                </c:pt>
                <c:pt idx="172">
                  <c:v>5.2772348474319131</c:v>
                </c:pt>
                <c:pt idx="173">
                  <c:v>4.8709247928391051</c:v>
                </c:pt>
                <c:pt idx="174">
                  <c:v>4.1833243023513091</c:v>
                </c:pt>
                <c:pt idx="175">
                  <c:v>5.2728721740303683</c:v>
                </c:pt>
                <c:pt idx="176">
                  <c:v>4.7345534346260081</c:v>
                </c:pt>
                <c:pt idx="177">
                  <c:v>2.685589634533045</c:v>
                </c:pt>
                <c:pt idx="178">
                  <c:v>2.9258660649240085</c:v>
                </c:pt>
                <c:pt idx="179">
                  <c:v>1.7986721223874724</c:v>
                </c:pt>
                <c:pt idx="180">
                  <c:v>1.7830564338685235</c:v>
                </c:pt>
                <c:pt idx="181">
                  <c:v>3.2659393279552091</c:v>
                </c:pt>
                <c:pt idx="182">
                  <c:v>1.519339988664683</c:v>
                </c:pt>
                <c:pt idx="183">
                  <c:v>0.72473338663630216</c:v>
                </c:pt>
                <c:pt idx="184">
                  <c:v>1.5079798975940548</c:v>
                </c:pt>
                <c:pt idx="185">
                  <c:v>2.3065668010373486</c:v>
                </c:pt>
                <c:pt idx="186">
                  <c:v>2.0718886259288922</c:v>
                </c:pt>
                <c:pt idx="187">
                  <c:v>1.6745057348772718</c:v>
                </c:pt>
                <c:pt idx="188">
                  <c:v>2.6095365820390271</c:v>
                </c:pt>
                <c:pt idx="189">
                  <c:v>2.5619227480418658</c:v>
                </c:pt>
                <c:pt idx="190">
                  <c:v>2.44600371323952</c:v>
                </c:pt>
                <c:pt idx="191">
                  <c:v>2.3329888365045122</c:v>
                </c:pt>
                <c:pt idx="192">
                  <c:v>3.6583304461359774</c:v>
                </c:pt>
                <c:pt idx="193">
                  <c:v>4.2095980127108419</c:v>
                </c:pt>
                <c:pt idx="194">
                  <c:v>4.7820020479485947</c:v>
                </c:pt>
                <c:pt idx="195">
                  <c:v>6.5062807511891094</c:v>
                </c:pt>
                <c:pt idx="196">
                  <c:v>5.8636936782369844</c:v>
                </c:pt>
                <c:pt idx="197">
                  <c:v>5.2116547886819831</c:v>
                </c:pt>
                <c:pt idx="198">
                  <c:v>3.9648120315065682</c:v>
                </c:pt>
                <c:pt idx="199">
                  <c:v>0.39361924628116185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A-4EC4-8D0F-05B446F35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302623"/>
        <c:axId val="2136101647"/>
      </c:scatterChart>
      <c:valAx>
        <c:axId val="277302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6101647"/>
        <c:crosses val="autoZero"/>
        <c:crossBetween val="midCat"/>
      </c:valAx>
      <c:valAx>
        <c:axId val="213610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3026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G-V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Correlazione!$D$3:$D$202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2.844112</c:v>
                </c:pt>
                <c:pt idx="6">
                  <c:v>2.7775509999999999</c:v>
                </c:pt>
                <c:pt idx="7">
                  <c:v>3.4932690000000002</c:v>
                </c:pt>
                <c:pt idx="8">
                  <c:v>2.3214670000000002</c:v>
                </c:pt>
                <c:pt idx="9">
                  <c:v>4.2118289999999998</c:v>
                </c:pt>
                <c:pt idx="10">
                  <c:v>3.7900489999999998</c:v>
                </c:pt>
                <c:pt idx="11">
                  <c:v>2.3538079999999999</c:v>
                </c:pt>
                <c:pt idx="12">
                  <c:v>5.1064150000000001</c:v>
                </c:pt>
                <c:pt idx="13">
                  <c:v>5.0592090000000001</c:v>
                </c:pt>
                <c:pt idx="14">
                  <c:v>4.8411619999999997</c:v>
                </c:pt>
                <c:pt idx="15">
                  <c:v>6.188218</c:v>
                </c:pt>
                <c:pt idx="16">
                  <c:v>3.2660130000000001</c:v>
                </c:pt>
                <c:pt idx="17">
                  <c:v>3.9174910000000001</c:v>
                </c:pt>
                <c:pt idx="18">
                  <c:v>3.9839560000000001</c:v>
                </c:pt>
                <c:pt idx="19">
                  <c:v>4.8397519999999998</c:v>
                </c:pt>
                <c:pt idx="20">
                  <c:v>2.2645499999999998</c:v>
                </c:pt>
                <c:pt idx="21">
                  <c:v>2.0589330000000001</c:v>
                </c:pt>
                <c:pt idx="22">
                  <c:v>0.73149799999999998</c:v>
                </c:pt>
                <c:pt idx="23">
                  <c:v>0.79409700000000005</c:v>
                </c:pt>
                <c:pt idx="24">
                  <c:v>0.48480499999999999</c:v>
                </c:pt>
                <c:pt idx="25">
                  <c:v>0.488066</c:v>
                </c:pt>
                <c:pt idx="26">
                  <c:v>9.4834000000000002E-2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2.352808</c:v>
                </c:pt>
                <c:pt idx="32">
                  <c:v>4.2743289999999998</c:v>
                </c:pt>
                <c:pt idx="33">
                  <c:v>5.6914579999999999</c:v>
                </c:pt>
                <c:pt idx="34">
                  <c:v>6.2586089999999999</c:v>
                </c:pt>
                <c:pt idx="35">
                  <c:v>7.3391159999999998</c:v>
                </c:pt>
                <c:pt idx="36">
                  <c:v>12.074991000000001</c:v>
                </c:pt>
                <c:pt idx="37">
                  <c:v>11.996608</c:v>
                </c:pt>
                <c:pt idx="38">
                  <c:v>11.346334000000001</c:v>
                </c:pt>
                <c:pt idx="39">
                  <c:v>11.979096</c:v>
                </c:pt>
                <c:pt idx="40">
                  <c:v>7.984534</c:v>
                </c:pt>
                <c:pt idx="41">
                  <c:v>6.7591270000000003</c:v>
                </c:pt>
                <c:pt idx="42">
                  <c:v>7.0837209999999997</c:v>
                </c:pt>
                <c:pt idx="43">
                  <c:v>8.3084019999999992</c:v>
                </c:pt>
                <c:pt idx="44">
                  <c:v>8.3196899999999996</c:v>
                </c:pt>
                <c:pt idx="45">
                  <c:v>8.7068650000000005</c:v>
                </c:pt>
                <c:pt idx="46">
                  <c:v>9.6929990000000004</c:v>
                </c:pt>
                <c:pt idx="47">
                  <c:v>7.9203570000000001</c:v>
                </c:pt>
                <c:pt idx="48">
                  <c:v>9.2908550000000005</c:v>
                </c:pt>
                <c:pt idx="49">
                  <c:v>7.4890169999999996</c:v>
                </c:pt>
                <c:pt idx="50">
                  <c:v>9.8671570000000006</c:v>
                </c:pt>
                <c:pt idx="51">
                  <c:v>10.216414</c:v>
                </c:pt>
                <c:pt idx="52">
                  <c:v>8.5332240000000006</c:v>
                </c:pt>
                <c:pt idx="53">
                  <c:v>8.4940289999999994</c:v>
                </c:pt>
                <c:pt idx="54">
                  <c:v>9.5314899999999998</c:v>
                </c:pt>
                <c:pt idx="55">
                  <c:v>8.2987160000000006</c:v>
                </c:pt>
                <c:pt idx="56">
                  <c:v>9.0367320000000007</c:v>
                </c:pt>
                <c:pt idx="57">
                  <c:v>9.6714459999999995</c:v>
                </c:pt>
                <c:pt idx="58">
                  <c:v>6.7727570000000004</c:v>
                </c:pt>
                <c:pt idx="59">
                  <c:v>5.9446279999999998</c:v>
                </c:pt>
                <c:pt idx="60">
                  <c:v>5.3073759999999996</c:v>
                </c:pt>
                <c:pt idx="61">
                  <c:v>5.4128170000000004</c:v>
                </c:pt>
                <c:pt idx="62">
                  <c:v>5.4855539999999996</c:v>
                </c:pt>
                <c:pt idx="63">
                  <c:v>5.0706600000000002</c:v>
                </c:pt>
                <c:pt idx="64">
                  <c:v>6.7958730000000003</c:v>
                </c:pt>
                <c:pt idx="65">
                  <c:v>7.0016090000000002</c:v>
                </c:pt>
                <c:pt idx="66">
                  <c:v>7.1533939999999996</c:v>
                </c:pt>
                <c:pt idx="67">
                  <c:v>7.926679</c:v>
                </c:pt>
                <c:pt idx="68">
                  <c:v>7.21488</c:v>
                </c:pt>
                <c:pt idx="69">
                  <c:v>6.2666339999999998</c:v>
                </c:pt>
                <c:pt idx="70">
                  <c:v>5.7448620000000004</c:v>
                </c:pt>
                <c:pt idx="71">
                  <c:v>3.9087999999999998</c:v>
                </c:pt>
                <c:pt idx="72">
                  <c:v>5.4198399999999998</c:v>
                </c:pt>
                <c:pt idx="73">
                  <c:v>6.0874879999999996</c:v>
                </c:pt>
                <c:pt idx="74">
                  <c:v>6.4942539999999997</c:v>
                </c:pt>
                <c:pt idx="75">
                  <c:v>2.236691</c:v>
                </c:pt>
                <c:pt idx="76">
                  <c:v>2.4882520000000001</c:v>
                </c:pt>
                <c:pt idx="77">
                  <c:v>2.856204</c:v>
                </c:pt>
                <c:pt idx="78">
                  <c:v>1.534367</c:v>
                </c:pt>
                <c:pt idx="79">
                  <c:v>1.4454070000000001</c:v>
                </c:pt>
                <c:pt idx="80">
                  <c:v>2.2891710000000001</c:v>
                </c:pt>
                <c:pt idx="81">
                  <c:v>1.24004</c:v>
                </c:pt>
                <c:pt idx="82">
                  <c:v>1.191649</c:v>
                </c:pt>
                <c:pt idx="83">
                  <c:v>1.9640839999999999</c:v>
                </c:pt>
                <c:pt idx="84">
                  <c:v>1.918258</c:v>
                </c:pt>
                <c:pt idx="85">
                  <c:v>9.7654000000000005E-2</c:v>
                </c:pt>
                <c:pt idx="86">
                  <c:v>0.75314999999999999</c:v>
                </c:pt>
                <c:pt idx="87">
                  <c:v>0.76263000000000003</c:v>
                </c:pt>
                <c:pt idx="88">
                  <c:v>1.134201</c:v>
                </c:pt>
                <c:pt idx="89">
                  <c:v>1.71252</c:v>
                </c:pt>
                <c:pt idx="90">
                  <c:v>3.427559</c:v>
                </c:pt>
                <c:pt idx="91">
                  <c:v>4.8454249999999996</c:v>
                </c:pt>
                <c:pt idx="92">
                  <c:v>2.8294899999999998</c:v>
                </c:pt>
                <c:pt idx="93">
                  <c:v>4.4225810000000001</c:v>
                </c:pt>
                <c:pt idx="94">
                  <c:v>4.9827940000000002</c:v>
                </c:pt>
                <c:pt idx="95">
                  <c:v>6.2013860000000003</c:v>
                </c:pt>
                <c:pt idx="96">
                  <c:v>6.0442220000000004</c:v>
                </c:pt>
                <c:pt idx="97">
                  <c:v>7.7815950000000003</c:v>
                </c:pt>
                <c:pt idx="98">
                  <c:v>9.5127389999999998</c:v>
                </c:pt>
                <c:pt idx="99">
                  <c:v>9.7299670000000003</c:v>
                </c:pt>
                <c:pt idx="100">
                  <c:v>11.822781000000001</c:v>
                </c:pt>
                <c:pt idx="101">
                  <c:v>11.671872</c:v>
                </c:pt>
                <c:pt idx="102">
                  <c:v>8.5310930000000003</c:v>
                </c:pt>
                <c:pt idx="103">
                  <c:v>6.9022019999999999</c:v>
                </c:pt>
                <c:pt idx="104">
                  <c:v>6.7904410000000004</c:v>
                </c:pt>
                <c:pt idx="105">
                  <c:v>7.4565799999999998</c:v>
                </c:pt>
                <c:pt idx="106">
                  <c:v>7.4962099999999996</c:v>
                </c:pt>
                <c:pt idx="107">
                  <c:v>3.816287</c:v>
                </c:pt>
                <c:pt idx="108">
                  <c:v>3.5730390000000001</c:v>
                </c:pt>
                <c:pt idx="109">
                  <c:v>4.725295</c:v>
                </c:pt>
                <c:pt idx="110">
                  <c:v>7.9148589999999999</c:v>
                </c:pt>
                <c:pt idx="111">
                  <c:v>9.770035</c:v>
                </c:pt>
                <c:pt idx="112">
                  <c:v>11.571096000000001</c:v>
                </c:pt>
                <c:pt idx="113">
                  <c:v>12.403953</c:v>
                </c:pt>
                <c:pt idx="114">
                  <c:v>14.001611</c:v>
                </c:pt>
                <c:pt idx="115">
                  <c:v>14.588303</c:v>
                </c:pt>
                <c:pt idx="116">
                  <c:v>13.724971</c:v>
                </c:pt>
                <c:pt idx="117">
                  <c:v>11.938573999999999</c:v>
                </c:pt>
                <c:pt idx="118">
                  <c:v>13.809532000000001</c:v>
                </c:pt>
                <c:pt idx="119">
                  <c:v>13.279894000000001</c:v>
                </c:pt>
                <c:pt idx="120">
                  <c:v>14.151869</c:v>
                </c:pt>
                <c:pt idx="121">
                  <c:v>13.539453999999999</c:v>
                </c:pt>
                <c:pt idx="122">
                  <c:v>13.230905</c:v>
                </c:pt>
                <c:pt idx="123">
                  <c:v>13.695479000000001</c:v>
                </c:pt>
                <c:pt idx="124">
                  <c:v>14.668282</c:v>
                </c:pt>
                <c:pt idx="125">
                  <c:v>16.086144000000001</c:v>
                </c:pt>
                <c:pt idx="126">
                  <c:v>15.443168</c:v>
                </c:pt>
                <c:pt idx="127">
                  <c:v>13.635539</c:v>
                </c:pt>
                <c:pt idx="128">
                  <c:v>13.401339999999999</c:v>
                </c:pt>
                <c:pt idx="129">
                  <c:v>12.881817</c:v>
                </c:pt>
                <c:pt idx="130">
                  <c:v>9.9948490000000003</c:v>
                </c:pt>
                <c:pt idx="131">
                  <c:v>10.006422000000001</c:v>
                </c:pt>
                <c:pt idx="132">
                  <c:v>10.229571</c:v>
                </c:pt>
                <c:pt idx="133">
                  <c:v>9.6595549999999992</c:v>
                </c:pt>
                <c:pt idx="134">
                  <c:v>9.7168170000000007</c:v>
                </c:pt>
                <c:pt idx="135">
                  <c:v>9.6495270000000009</c:v>
                </c:pt>
                <c:pt idx="136">
                  <c:v>10.161173</c:v>
                </c:pt>
                <c:pt idx="137">
                  <c:v>9.6882169999999999</c:v>
                </c:pt>
                <c:pt idx="138">
                  <c:v>10.833728000000001</c:v>
                </c:pt>
                <c:pt idx="139">
                  <c:v>11.113061999999999</c:v>
                </c:pt>
                <c:pt idx="140">
                  <c:v>13.000431000000001</c:v>
                </c:pt>
                <c:pt idx="141">
                  <c:v>11.445969</c:v>
                </c:pt>
                <c:pt idx="142">
                  <c:v>11.464145</c:v>
                </c:pt>
                <c:pt idx="143">
                  <c:v>11.390025</c:v>
                </c:pt>
                <c:pt idx="144">
                  <c:v>12.221939000000001</c:v>
                </c:pt>
                <c:pt idx="145">
                  <c:v>11.824786</c:v>
                </c:pt>
                <c:pt idx="146">
                  <c:v>12.00694</c:v>
                </c:pt>
                <c:pt idx="147">
                  <c:v>11.067646999999999</c:v>
                </c:pt>
                <c:pt idx="148">
                  <c:v>10.661144999999999</c:v>
                </c:pt>
                <c:pt idx="149">
                  <c:v>12.994483000000001</c:v>
                </c:pt>
                <c:pt idx="150">
                  <c:v>13.649361000000001</c:v>
                </c:pt>
                <c:pt idx="151">
                  <c:v>14.817421</c:v>
                </c:pt>
                <c:pt idx="152">
                  <c:v>13.391347</c:v>
                </c:pt>
                <c:pt idx="153">
                  <c:v>13.504552</c:v>
                </c:pt>
                <c:pt idx="154">
                  <c:v>13.092393</c:v>
                </c:pt>
                <c:pt idx="155">
                  <c:v>12.894598</c:v>
                </c:pt>
                <c:pt idx="156">
                  <c:v>12.603664</c:v>
                </c:pt>
                <c:pt idx="157">
                  <c:v>12.070136</c:v>
                </c:pt>
                <c:pt idx="158">
                  <c:v>10.288862</c:v>
                </c:pt>
                <c:pt idx="159">
                  <c:v>10.746594</c:v>
                </c:pt>
                <c:pt idx="160">
                  <c:v>6.7450380000000001</c:v>
                </c:pt>
                <c:pt idx="161">
                  <c:v>6.8367360000000001</c:v>
                </c:pt>
                <c:pt idx="162">
                  <c:v>8.9263639999999995</c:v>
                </c:pt>
                <c:pt idx="163">
                  <c:v>8.9754149999999999</c:v>
                </c:pt>
                <c:pt idx="164">
                  <c:v>7.9683330000000003</c:v>
                </c:pt>
                <c:pt idx="165">
                  <c:v>6.3123370000000003</c:v>
                </c:pt>
                <c:pt idx="166">
                  <c:v>5.9610830000000004</c:v>
                </c:pt>
                <c:pt idx="167">
                  <c:v>4.8381660000000002</c:v>
                </c:pt>
                <c:pt idx="168">
                  <c:v>5.4793269999999996</c:v>
                </c:pt>
                <c:pt idx="169">
                  <c:v>7.3440130000000003</c:v>
                </c:pt>
                <c:pt idx="170">
                  <c:v>7.2148839999999996</c:v>
                </c:pt>
                <c:pt idx="171">
                  <c:v>5.4565270000000003</c:v>
                </c:pt>
                <c:pt idx="172">
                  <c:v>3.6535009999999999</c:v>
                </c:pt>
                <c:pt idx="173">
                  <c:v>3.0456970000000001</c:v>
                </c:pt>
                <c:pt idx="174">
                  <c:v>3.9662320000000002</c:v>
                </c:pt>
                <c:pt idx="175">
                  <c:v>3.7580110000000002</c:v>
                </c:pt>
                <c:pt idx="176">
                  <c:v>4.5069249999999998</c:v>
                </c:pt>
                <c:pt idx="177">
                  <c:v>2.1241949999999998</c:v>
                </c:pt>
                <c:pt idx="178">
                  <c:v>1.9323319999999999</c:v>
                </c:pt>
                <c:pt idx="179">
                  <c:v>0.75351900000000005</c:v>
                </c:pt>
                <c:pt idx="180">
                  <c:v>0.84218199999999999</c:v>
                </c:pt>
                <c:pt idx="181">
                  <c:v>1.725816</c:v>
                </c:pt>
                <c:pt idx="182">
                  <c:v>1.0813010000000001</c:v>
                </c:pt>
                <c:pt idx="183">
                  <c:v>7.6410000000000006E-2</c:v>
                </c:pt>
                <c:pt idx="184">
                  <c:v>0</c:v>
                </c:pt>
                <c:pt idx="185">
                  <c:v>0.62909999999999999</c:v>
                </c:pt>
                <c:pt idx="186">
                  <c:v>1.844204</c:v>
                </c:pt>
                <c:pt idx="187">
                  <c:v>1.497695</c:v>
                </c:pt>
                <c:pt idx="188">
                  <c:v>1.6743110000000001</c:v>
                </c:pt>
                <c:pt idx="189">
                  <c:v>2.1693009999999999</c:v>
                </c:pt>
                <c:pt idx="190">
                  <c:v>2.2631619999999999</c:v>
                </c:pt>
                <c:pt idx="191">
                  <c:v>1.8615660000000001</c:v>
                </c:pt>
                <c:pt idx="192">
                  <c:v>2.3279049999999999</c:v>
                </c:pt>
                <c:pt idx="193">
                  <c:v>3.25047</c:v>
                </c:pt>
                <c:pt idx="194">
                  <c:v>3.9239039999999998</c:v>
                </c:pt>
                <c:pt idx="195">
                  <c:v>4.0480219999999996</c:v>
                </c:pt>
                <c:pt idx="196">
                  <c:v>5.6125309999999997</c:v>
                </c:pt>
                <c:pt idx="197">
                  <c:v>3.3765040000000002</c:v>
                </c:pt>
                <c:pt idx="198">
                  <c:v>2.6201680000000001</c:v>
                </c:pt>
                <c:pt idx="199">
                  <c:v>0</c:v>
                </c:pt>
              </c:numCache>
            </c:numRef>
          </c:xVal>
          <c:yVal>
            <c:numRef>
              <c:f>Correlazione!$E$3:$E$202</c:f>
              <c:numCache>
                <c:formatCode>General</c:formatCode>
                <c:ptCount val="200"/>
                <c:pt idx="0">
                  <c:v>0.16302683013520436</c:v>
                </c:pt>
                <c:pt idx="1">
                  <c:v>0.12492522153141605</c:v>
                </c:pt>
                <c:pt idx="2">
                  <c:v>1.0998941232660382</c:v>
                </c:pt>
                <c:pt idx="3">
                  <c:v>0.22292617776071655</c:v>
                </c:pt>
                <c:pt idx="4">
                  <c:v>3.078438225347579</c:v>
                </c:pt>
                <c:pt idx="5">
                  <c:v>3.6941095760077332</c:v>
                </c:pt>
                <c:pt idx="6">
                  <c:v>4.6692263603662933</c:v>
                </c:pt>
                <c:pt idx="7">
                  <c:v>3.8778745597080526</c:v>
                </c:pt>
                <c:pt idx="8">
                  <c:v>4.7452907440959162</c:v>
                </c:pt>
                <c:pt idx="9">
                  <c:v>4.4043622147494208</c:v>
                </c:pt>
                <c:pt idx="10">
                  <c:v>4.2118301212878695</c:v>
                </c:pt>
                <c:pt idx="11">
                  <c:v>5.2033735369825216</c:v>
                </c:pt>
                <c:pt idx="12">
                  <c:v>5.7167339615153168</c:v>
                </c:pt>
                <c:pt idx="13">
                  <c:v>6.3932375616855897</c:v>
                </c:pt>
                <c:pt idx="14">
                  <c:v>6.2016207181965477</c:v>
                </c:pt>
                <c:pt idx="15">
                  <c:v>6.8194455173150281</c:v>
                </c:pt>
                <c:pt idx="16">
                  <c:v>4.047551588463822</c:v>
                </c:pt>
                <c:pt idx="17">
                  <c:v>4.461548953947247</c:v>
                </c:pt>
                <c:pt idx="18">
                  <c:v>5.5694747188511471</c:v>
                </c:pt>
                <c:pt idx="19">
                  <c:v>5.8967238586785662</c:v>
                </c:pt>
                <c:pt idx="20">
                  <c:v>2.6509465123359988</c:v>
                </c:pt>
                <c:pt idx="21">
                  <c:v>2.3128888432715939</c:v>
                </c:pt>
                <c:pt idx="22">
                  <c:v>0.99303666322397177</c:v>
                </c:pt>
                <c:pt idx="23">
                  <c:v>1.8225063007713658</c:v>
                </c:pt>
                <c:pt idx="24">
                  <c:v>1.1507699849162343</c:v>
                </c:pt>
                <c:pt idx="25">
                  <c:v>1.3578108471875332</c:v>
                </c:pt>
                <c:pt idx="26">
                  <c:v>0.90896829558382919</c:v>
                </c:pt>
                <c:pt idx="27">
                  <c:v>0.1116325069741535</c:v>
                </c:pt>
                <c:pt idx="28">
                  <c:v>0.32761426824205842</c:v>
                </c:pt>
                <c:pt idx="29">
                  <c:v>0.34670793164829661</c:v>
                </c:pt>
                <c:pt idx="30">
                  <c:v>2.3754649172683528</c:v>
                </c:pt>
                <c:pt idx="31">
                  <c:v>4.541592095884539</c:v>
                </c:pt>
                <c:pt idx="32">
                  <c:v>5.8831755677786646</c:v>
                </c:pt>
                <c:pt idx="33">
                  <c:v>7.6788741912904754</c:v>
                </c:pt>
                <c:pt idx="34">
                  <c:v>8.116138394093241</c:v>
                </c:pt>
                <c:pt idx="35">
                  <c:v>12.149344747098056</c:v>
                </c:pt>
                <c:pt idx="36">
                  <c:v>12.221619424995133</c:v>
                </c:pt>
                <c:pt idx="37">
                  <c:v>12.562127417789142</c:v>
                </c:pt>
                <c:pt idx="38">
                  <c:v>13.007069434445505</c:v>
                </c:pt>
                <c:pt idx="39">
                  <c:v>12.165053267587716</c:v>
                </c:pt>
                <c:pt idx="40">
                  <c:v>8.5954089731147434</c:v>
                </c:pt>
                <c:pt idx="41">
                  <c:v>7.1662179399472095</c:v>
                </c:pt>
                <c:pt idx="42">
                  <c:v>8.8311205344963142</c:v>
                </c:pt>
                <c:pt idx="43">
                  <c:v>8.3858089158305376</c:v>
                </c:pt>
                <c:pt idx="44">
                  <c:v>8.8271035258544046</c:v>
                </c:pt>
                <c:pt idx="45">
                  <c:v>10.082768842702237</c:v>
                </c:pt>
                <c:pt idx="46">
                  <c:v>10.141089805890736</c:v>
                </c:pt>
                <c:pt idx="47">
                  <c:v>9.659663370570847</c:v>
                </c:pt>
                <c:pt idx="48">
                  <c:v>9.5702125592010177</c:v>
                </c:pt>
                <c:pt idx="49">
                  <c:v>10.078960443850569</c:v>
                </c:pt>
                <c:pt idx="50">
                  <c:v>10.269186777998719</c:v>
                </c:pt>
                <c:pt idx="51">
                  <c:v>11.060667363171099</c:v>
                </c:pt>
                <c:pt idx="52">
                  <c:v>9.154072503005743</c:v>
                </c:pt>
                <c:pt idx="53">
                  <c:v>9.8103756241499482</c:v>
                </c:pt>
                <c:pt idx="54">
                  <c:v>10.209364884316074</c:v>
                </c:pt>
                <c:pt idx="55">
                  <c:v>9.5021569260543046</c:v>
                </c:pt>
                <c:pt idx="56">
                  <c:v>10.504890540627855</c:v>
                </c:pt>
                <c:pt idx="57">
                  <c:v>10.607449747898258</c:v>
                </c:pt>
                <c:pt idx="58">
                  <c:v>7.2278606554858413</c:v>
                </c:pt>
                <c:pt idx="59">
                  <c:v>6.0891089421254065</c:v>
                </c:pt>
                <c:pt idx="60">
                  <c:v>6.1134218011432466</c:v>
                </c:pt>
                <c:pt idx="61">
                  <c:v>6.1911568305109341</c:v>
                </c:pt>
                <c:pt idx="62">
                  <c:v>5.7821520577818006</c:v>
                </c:pt>
                <c:pt idx="63">
                  <c:v>7.0519417487125082</c:v>
                </c:pt>
                <c:pt idx="64">
                  <c:v>7.0297615878061208</c:v>
                </c:pt>
                <c:pt idx="65">
                  <c:v>7.2718139322329165</c:v>
                </c:pt>
                <c:pt idx="66">
                  <c:v>8.2749861510337297</c:v>
                </c:pt>
                <c:pt idx="67">
                  <c:v>8.1289887663474616</c:v>
                </c:pt>
                <c:pt idx="68">
                  <c:v>7.4315481491989033</c:v>
                </c:pt>
                <c:pt idx="69">
                  <c:v>7.0054262576983319</c:v>
                </c:pt>
                <c:pt idx="70">
                  <c:v>6.3165885292645925</c:v>
                </c:pt>
                <c:pt idx="71">
                  <c:v>6.2215151131216828</c:v>
                </c:pt>
                <c:pt idx="72">
                  <c:v>6.2979168120666174</c:v>
                </c:pt>
                <c:pt idx="73">
                  <c:v>7.5155833759888395</c:v>
                </c:pt>
                <c:pt idx="74">
                  <c:v>6.5869615342404302</c:v>
                </c:pt>
                <c:pt idx="75">
                  <c:v>3.7124487799706287</c:v>
                </c:pt>
                <c:pt idx="76">
                  <c:v>2.9892149945781483</c:v>
                </c:pt>
                <c:pt idx="77">
                  <c:v>3.2524309098551214</c:v>
                </c:pt>
                <c:pt idx="78">
                  <c:v>2.679725237918575</c:v>
                </c:pt>
                <c:pt idx="79">
                  <c:v>2.5628304082543565</c:v>
                </c:pt>
                <c:pt idx="80">
                  <c:v>2.3478188109106242</c:v>
                </c:pt>
                <c:pt idx="81">
                  <c:v>1.5625645820201441</c:v>
                </c:pt>
                <c:pt idx="82">
                  <c:v>3.2455324459891557</c:v>
                </c:pt>
                <c:pt idx="83">
                  <c:v>2.1371847406796718</c:v>
                </c:pt>
                <c:pt idx="84">
                  <c:v>2.6257647905066932</c:v>
                </c:pt>
                <c:pt idx="85">
                  <c:v>0.99410375321167521</c:v>
                </c:pt>
                <c:pt idx="86">
                  <c:v>1.6380602904291948</c:v>
                </c:pt>
                <c:pt idx="87">
                  <c:v>1.8643982300157376</c:v>
                </c:pt>
                <c:pt idx="88">
                  <c:v>1.7502850617375572</c:v>
                </c:pt>
                <c:pt idx="89">
                  <c:v>3.5231475619780497</c:v>
                </c:pt>
                <c:pt idx="90">
                  <c:v>5.109178004596501</c:v>
                </c:pt>
                <c:pt idx="91">
                  <c:v>5.1044869648196851</c:v>
                </c:pt>
                <c:pt idx="92">
                  <c:v>5.0666413154428227</c:v>
                </c:pt>
                <c:pt idx="93">
                  <c:v>5.4186800946666551</c:v>
                </c:pt>
                <c:pt idx="94">
                  <c:v>6.2883785183295799</c:v>
                </c:pt>
                <c:pt idx="95">
                  <c:v>6.3972308123943122</c:v>
                </c:pt>
                <c:pt idx="96">
                  <c:v>7.8837891440401222</c:v>
                </c:pt>
                <c:pt idx="97">
                  <c:v>9.7659445512970393</c:v>
                </c:pt>
                <c:pt idx="98">
                  <c:v>10.328787958064865</c:v>
                </c:pt>
                <c:pt idx="99">
                  <c:v>11.928344456125487</c:v>
                </c:pt>
                <c:pt idx="100">
                  <c:v>12.189357172722353</c:v>
                </c:pt>
                <c:pt idx="101">
                  <c:v>12.447750785635293</c:v>
                </c:pt>
                <c:pt idx="102">
                  <c:v>8.9610234541020901</c:v>
                </c:pt>
                <c:pt idx="103">
                  <c:v>7.6418993778684552</c:v>
                </c:pt>
                <c:pt idx="104">
                  <c:v>7.733884109200531</c:v>
                </c:pt>
                <c:pt idx="105">
                  <c:v>7.7368477990808913</c:v>
                </c:pt>
                <c:pt idx="106">
                  <c:v>7.6332040806977091</c:v>
                </c:pt>
                <c:pt idx="107">
                  <c:v>4.0897093241681404</c:v>
                </c:pt>
                <c:pt idx="108">
                  <c:v>5.6275473444323296</c:v>
                </c:pt>
                <c:pt idx="109">
                  <c:v>9.2912129404033266</c:v>
                </c:pt>
                <c:pt idx="110">
                  <c:v>9.9704091781110122</c:v>
                </c:pt>
                <c:pt idx="111">
                  <c:v>11.650837709568606</c:v>
                </c:pt>
                <c:pt idx="112">
                  <c:v>13.117650068324735</c:v>
                </c:pt>
                <c:pt idx="113">
                  <c:v>14.08935524366504</c:v>
                </c:pt>
                <c:pt idx="114">
                  <c:v>14.765011311949593</c:v>
                </c:pt>
                <c:pt idx="115">
                  <c:v>14.851052591466342</c:v>
                </c:pt>
                <c:pt idx="116">
                  <c:v>14.200915769142895</c:v>
                </c:pt>
                <c:pt idx="117">
                  <c:v>13.897885234679904</c:v>
                </c:pt>
                <c:pt idx="118">
                  <c:v>13.897753506205447</c:v>
                </c:pt>
                <c:pt idx="119">
                  <c:v>14.324999503791489</c:v>
                </c:pt>
                <c:pt idx="120">
                  <c:v>14.997297560302769</c:v>
                </c:pt>
                <c:pt idx="121">
                  <c:v>14.358293912469918</c:v>
                </c:pt>
                <c:pt idx="122">
                  <c:v>14.455957457161077</c:v>
                </c:pt>
                <c:pt idx="123">
                  <c:v>16.882076127863144</c:v>
                </c:pt>
                <c:pt idx="124">
                  <c:v>16.346974006586777</c:v>
                </c:pt>
                <c:pt idx="125">
                  <c:v>16.479132338001051</c:v>
                </c:pt>
                <c:pt idx="126">
                  <c:v>16.221419409217845</c:v>
                </c:pt>
                <c:pt idx="127">
                  <c:v>14.129679828506809</c:v>
                </c:pt>
                <c:pt idx="128">
                  <c:v>13.824714353250329</c:v>
                </c:pt>
                <c:pt idx="129">
                  <c:v>13.234793539680709</c:v>
                </c:pt>
                <c:pt idx="130">
                  <c:v>10.506983326447653</c:v>
                </c:pt>
                <c:pt idx="131">
                  <c:v>11.540700556459996</c:v>
                </c:pt>
                <c:pt idx="132">
                  <c:v>10.949711464307342</c:v>
                </c:pt>
                <c:pt idx="133">
                  <c:v>10.006802531045793</c:v>
                </c:pt>
                <c:pt idx="134">
                  <c:v>10.049476781485453</c:v>
                </c:pt>
                <c:pt idx="135">
                  <c:v>11.101823334128966</c:v>
                </c:pt>
                <c:pt idx="136">
                  <c:v>10.814493823038447</c:v>
                </c:pt>
                <c:pt idx="137">
                  <c:v>10.922760742208624</c:v>
                </c:pt>
                <c:pt idx="138">
                  <c:v>11.315446150066265</c:v>
                </c:pt>
                <c:pt idx="139">
                  <c:v>13.409226959024693</c:v>
                </c:pt>
                <c:pt idx="140">
                  <c:v>13.839489061692404</c:v>
                </c:pt>
                <c:pt idx="141">
                  <c:v>11.753834547187324</c:v>
                </c:pt>
                <c:pt idx="142">
                  <c:v>11.861878574748886</c:v>
                </c:pt>
                <c:pt idx="143">
                  <c:v>12.280715092910441</c:v>
                </c:pt>
                <c:pt idx="144">
                  <c:v>12.987053799175328</c:v>
                </c:pt>
                <c:pt idx="145">
                  <c:v>13.862771456492993</c:v>
                </c:pt>
                <c:pt idx="146">
                  <c:v>12.194393958464559</c:v>
                </c:pt>
                <c:pt idx="147">
                  <c:v>14.487370440675392</c:v>
                </c:pt>
                <c:pt idx="148">
                  <c:v>13.135820274212193</c:v>
                </c:pt>
                <c:pt idx="149">
                  <c:v>14.024058606570605</c:v>
                </c:pt>
                <c:pt idx="150">
                  <c:v>15.13718072665003</c:v>
                </c:pt>
                <c:pt idx="151">
                  <c:v>14.978506681688685</c:v>
                </c:pt>
                <c:pt idx="152">
                  <c:v>13.915755728381441</c:v>
                </c:pt>
                <c:pt idx="153">
                  <c:v>13.732077081589722</c:v>
                </c:pt>
                <c:pt idx="154">
                  <c:v>13.905863492091896</c:v>
                </c:pt>
                <c:pt idx="155">
                  <c:v>12.954892447756464</c:v>
                </c:pt>
                <c:pt idx="156">
                  <c:v>12.693265527027847</c:v>
                </c:pt>
                <c:pt idx="157">
                  <c:v>12.583987848116095</c:v>
                </c:pt>
                <c:pt idx="158">
                  <c:v>11.55149702528675</c:v>
                </c:pt>
                <c:pt idx="159">
                  <c:v>11.661720993110038</c:v>
                </c:pt>
                <c:pt idx="160">
                  <c:v>7.2991558653806692</c:v>
                </c:pt>
                <c:pt idx="161">
                  <c:v>9.8557567447116696</c:v>
                </c:pt>
                <c:pt idx="162">
                  <c:v>9.0202879006301373</c:v>
                </c:pt>
                <c:pt idx="163">
                  <c:v>9.0272895406224336</c:v>
                </c:pt>
                <c:pt idx="164">
                  <c:v>8.0609880464190837</c:v>
                </c:pt>
                <c:pt idx="165">
                  <c:v>6.5128663760951326</c:v>
                </c:pt>
                <c:pt idx="166">
                  <c:v>6.4367782621786773</c:v>
                </c:pt>
                <c:pt idx="167">
                  <c:v>5.5853875422224633</c:v>
                </c:pt>
                <c:pt idx="168">
                  <c:v>7.6151140108362654</c:v>
                </c:pt>
                <c:pt idx="169">
                  <c:v>7.4781758457976366</c:v>
                </c:pt>
                <c:pt idx="170">
                  <c:v>7.7383260733215593</c:v>
                </c:pt>
                <c:pt idx="171">
                  <c:v>5.8841390655275063</c:v>
                </c:pt>
                <c:pt idx="172">
                  <c:v>5.2772348474319131</c:v>
                </c:pt>
                <c:pt idx="173">
                  <c:v>4.8709247928391051</c:v>
                </c:pt>
                <c:pt idx="174">
                  <c:v>4.1833243023513091</c:v>
                </c:pt>
                <c:pt idx="175">
                  <c:v>5.2728721740303683</c:v>
                </c:pt>
                <c:pt idx="176">
                  <c:v>4.7345534346260081</c:v>
                </c:pt>
                <c:pt idx="177">
                  <c:v>2.685589634533045</c:v>
                </c:pt>
                <c:pt idx="178">
                  <c:v>2.9258660649240085</c:v>
                </c:pt>
                <c:pt idx="179">
                  <c:v>1.7986721223874724</c:v>
                </c:pt>
                <c:pt idx="180">
                  <c:v>1.7830564338685235</c:v>
                </c:pt>
                <c:pt idx="181">
                  <c:v>3.2659393279552091</c:v>
                </c:pt>
                <c:pt idx="182">
                  <c:v>1.519339988664683</c:v>
                </c:pt>
                <c:pt idx="183">
                  <c:v>0.72473338663630216</c:v>
                </c:pt>
                <c:pt idx="184">
                  <c:v>1.5079798975940548</c:v>
                </c:pt>
                <c:pt idx="185">
                  <c:v>2.3065668010373486</c:v>
                </c:pt>
                <c:pt idx="186">
                  <c:v>2.0718886259288922</c:v>
                </c:pt>
                <c:pt idx="187">
                  <c:v>1.6745057348772718</c:v>
                </c:pt>
                <c:pt idx="188">
                  <c:v>2.6095365820390271</c:v>
                </c:pt>
                <c:pt idx="189">
                  <c:v>2.5619227480418658</c:v>
                </c:pt>
                <c:pt idx="190">
                  <c:v>2.44600371323952</c:v>
                </c:pt>
                <c:pt idx="191">
                  <c:v>2.3329888365045122</c:v>
                </c:pt>
                <c:pt idx="192">
                  <c:v>3.6583304461359774</c:v>
                </c:pt>
                <c:pt idx="193">
                  <c:v>4.2095980127108419</c:v>
                </c:pt>
                <c:pt idx="194">
                  <c:v>4.7820020479485947</c:v>
                </c:pt>
                <c:pt idx="195">
                  <c:v>6.5062807511891094</c:v>
                </c:pt>
                <c:pt idx="196">
                  <c:v>5.8636936782369844</c:v>
                </c:pt>
                <c:pt idx="197">
                  <c:v>5.2116547886819831</c:v>
                </c:pt>
                <c:pt idx="198">
                  <c:v>3.9648120315065682</c:v>
                </c:pt>
                <c:pt idx="199">
                  <c:v>0.39361924628116185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D3-4D58-8A49-F7479484F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885487"/>
        <c:axId val="2136083759"/>
      </c:scatterChart>
      <c:valAx>
        <c:axId val="375885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6083759"/>
        <c:crosses val="autoZero"/>
        <c:crossBetween val="midCat"/>
      </c:valAx>
      <c:valAx>
        <c:axId val="213608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885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P-C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Correlazione!$B$3:$B$202</c:f>
              <c:numCache>
                <c:formatCode>General</c:formatCode>
                <c:ptCount val="200"/>
                <c:pt idx="0">
                  <c:v>0.43711520171939677</c:v>
                </c:pt>
                <c:pt idx="1">
                  <c:v>2.0052778044218393</c:v>
                </c:pt>
                <c:pt idx="2">
                  <c:v>1.7520521740613202</c:v>
                </c:pt>
                <c:pt idx="3">
                  <c:v>2.8020642130684905</c:v>
                </c:pt>
                <c:pt idx="4">
                  <c:v>0.72035772379527307</c:v>
                </c:pt>
                <c:pt idx="5">
                  <c:v>0.23432620694155346</c:v>
                </c:pt>
                <c:pt idx="6">
                  <c:v>0.9165582850391244</c:v>
                </c:pt>
                <c:pt idx="7">
                  <c:v>1.175957705009933</c:v>
                </c:pt>
                <c:pt idx="8">
                  <c:v>1.5564070688384215</c:v>
                </c:pt>
                <c:pt idx="9">
                  <c:v>0.53346178741536621</c:v>
                </c:pt>
                <c:pt idx="10">
                  <c:v>0.61431282058827419</c:v>
                </c:pt>
                <c:pt idx="11">
                  <c:v>1.8580216334432982</c:v>
                </c:pt>
                <c:pt idx="12">
                  <c:v>9.6958388053781486E-2</c:v>
                </c:pt>
                <c:pt idx="13">
                  <c:v>0.65752450077313007</c:v>
                </c:pt>
                <c:pt idx="14">
                  <c:v>1.5520756349051883</c:v>
                </c:pt>
                <c:pt idx="15">
                  <c:v>1.3402555674646139E-2</c:v>
                </c:pt>
                <c:pt idx="16">
                  <c:v>3.5534321138923302</c:v>
                </c:pt>
                <c:pt idx="17">
                  <c:v>0.13006031963243403</c:v>
                </c:pt>
                <c:pt idx="18">
                  <c:v>0.47759252182808487</c:v>
                </c:pt>
                <c:pt idx="19">
                  <c:v>0.7297231761350601</c:v>
                </c:pt>
                <c:pt idx="20">
                  <c:v>3.6321735688303884</c:v>
                </c:pt>
                <c:pt idx="21">
                  <c:v>0.59201303374234882</c:v>
                </c:pt>
                <c:pt idx="22">
                  <c:v>1.5813912778050025</c:v>
                </c:pt>
                <c:pt idx="23">
                  <c:v>0.19894015037996277</c:v>
                </c:pt>
                <c:pt idx="24">
                  <c:v>1.3377016743093204</c:v>
                </c:pt>
                <c:pt idx="25">
                  <c:v>0.66270388392557045</c:v>
                </c:pt>
                <c:pt idx="26">
                  <c:v>1.2629767812131345</c:v>
                </c:pt>
                <c:pt idx="27">
                  <c:v>1.4552289926474684</c:v>
                </c:pt>
                <c:pt idx="28">
                  <c:v>0.32404540900233986</c:v>
                </c:pt>
                <c:pt idx="29">
                  <c:v>2.449819120016588</c:v>
                </c:pt>
                <c:pt idx="30">
                  <c:v>0.72840613293362289</c:v>
                </c:pt>
                <c:pt idx="31">
                  <c:v>2.2657094926113501E-2</c:v>
                </c:pt>
                <c:pt idx="32">
                  <c:v>0.26726341171447365</c:v>
                </c:pt>
                <c:pt idx="33">
                  <c:v>0.19171801149732456</c:v>
                </c:pt>
                <c:pt idx="34">
                  <c:v>1.4202649578856954</c:v>
                </c:pt>
                <c:pt idx="35">
                  <c:v>0.77702191653927233</c:v>
                </c:pt>
                <c:pt idx="36">
                  <c:v>7.4353298936563741E-2</c:v>
                </c:pt>
                <c:pt idx="37">
                  <c:v>0.22501134677517304</c:v>
                </c:pt>
                <c:pt idx="38">
                  <c:v>1.2157931112469933</c:v>
                </c:pt>
                <c:pt idx="39">
                  <c:v>1.0279736943430557</c:v>
                </c:pt>
                <c:pt idx="40">
                  <c:v>4.1805189812423782</c:v>
                </c:pt>
                <c:pt idx="41">
                  <c:v>1.836282458246562</c:v>
                </c:pt>
                <c:pt idx="42">
                  <c:v>8.2496570356666396E-2</c:v>
                </c:pt>
                <c:pt idx="43">
                  <c:v>0.52271854262889073</c:v>
                </c:pt>
                <c:pt idx="44">
                  <c:v>6.6118654073616098E-2</c:v>
                </c:pt>
                <c:pt idx="45">
                  <c:v>0.12023859214679512</c:v>
                </c:pt>
                <c:pt idx="46">
                  <c:v>0.3897698308568322</c:v>
                </c:pt>
                <c:pt idx="47">
                  <c:v>2.220732939132867</c:v>
                </c:pt>
                <c:pt idx="48">
                  <c:v>0.3688079125299088</c:v>
                </c:pt>
                <c:pt idx="49">
                  <c:v>2.0811960252085346</c:v>
                </c:pt>
                <c:pt idx="50">
                  <c:v>0.21180365672261828</c:v>
                </c:pt>
                <c:pt idx="51">
                  <c:v>5.2772888618898728E-2</c:v>
                </c:pt>
                <c:pt idx="52">
                  <c:v>2.5274436709473944</c:v>
                </c:pt>
                <c:pt idx="53">
                  <c:v>0.66004373138093619</c:v>
                </c:pt>
                <c:pt idx="54">
                  <c:v>0.27888550012392554</c:v>
                </c:pt>
                <c:pt idx="55">
                  <c:v>1.9106489979271728</c:v>
                </c:pt>
                <c:pt idx="56">
                  <c:v>0.46542537260980577</c:v>
                </c:pt>
                <c:pt idx="57">
                  <c:v>0.83344459396899206</c:v>
                </c:pt>
                <c:pt idx="58">
                  <c:v>3.8346927374097799</c:v>
                </c:pt>
                <c:pt idx="59">
                  <c:v>1.2832330964914633</c:v>
                </c:pt>
                <c:pt idx="60">
                  <c:v>0.7817325218776574</c:v>
                </c:pt>
                <c:pt idx="61">
                  <c:v>0.70060514959203246</c:v>
                </c:pt>
                <c:pt idx="62">
                  <c:v>0.70560327147532431</c:v>
                </c:pt>
                <c:pt idx="63">
                  <c:v>0.71149232148600272</c:v>
                </c:pt>
                <c:pt idx="64">
                  <c:v>0.25606913695408884</c:v>
                </c:pt>
                <c:pt idx="65">
                  <c:v>2.8152244118326081E-2</c:v>
                </c:pt>
                <c:pt idx="66">
                  <c:v>0.11842034972443499</c:v>
                </c:pt>
                <c:pt idx="67">
                  <c:v>0.34830696026262231</c:v>
                </c:pt>
                <c:pt idx="68">
                  <c:v>0.91410828850898462</c:v>
                </c:pt>
                <c:pt idx="69">
                  <c:v>1.1649143220038309</c:v>
                </c:pt>
                <c:pt idx="70">
                  <c:v>1.2605645910279308</c:v>
                </c:pt>
                <c:pt idx="71">
                  <c:v>2.4077881567325243</c:v>
                </c:pt>
                <c:pt idx="72">
                  <c:v>0.80167553379484824</c:v>
                </c:pt>
                <c:pt idx="73">
                  <c:v>0.2104292594348435</c:v>
                </c:pt>
                <c:pt idx="74">
                  <c:v>1.0213291025228057</c:v>
                </c:pt>
                <c:pt idx="75">
                  <c:v>4.3502706881590836</c:v>
                </c:pt>
                <c:pt idx="76">
                  <c:v>1.2241964637705145</c:v>
                </c:pt>
                <c:pt idx="77">
                  <c:v>0.1330113530688751</c:v>
                </c:pt>
                <c:pt idx="78">
                  <c:v>1.7180638940260422</c:v>
                </c:pt>
                <c:pt idx="79">
                  <c:v>1.2343182826405044</c:v>
                </c:pt>
                <c:pt idx="80">
                  <c:v>0.27365943949820287</c:v>
                </c:pt>
                <c:pt idx="81">
                  <c:v>1.1077789376329787</c:v>
                </c:pt>
                <c:pt idx="82">
                  <c:v>0.37091526440150657</c:v>
                </c:pt>
                <c:pt idx="83">
                  <c:v>1.2814485888755647</c:v>
                </c:pt>
                <c:pt idx="84">
                  <c:v>0.21892699162343734</c:v>
                </c:pt>
                <c:pt idx="85">
                  <c:v>2.5281112307587335</c:v>
                </c:pt>
                <c:pt idx="86">
                  <c:v>0.24095409099424142</c:v>
                </c:pt>
                <c:pt idx="87">
                  <c:v>0.87543074012267041</c:v>
                </c:pt>
                <c:pt idx="88">
                  <c:v>0.73019766653051776</c:v>
                </c:pt>
                <c:pt idx="89">
                  <c:v>3.7764641805111791E-2</c:v>
                </c:pt>
                <c:pt idx="90">
                  <c:v>9.558816314030022E-2</c:v>
                </c:pt>
                <c:pt idx="91">
                  <c:v>0.26375317600066484</c:v>
                </c:pt>
                <c:pt idx="92">
                  <c:v>2.274996597129439</c:v>
                </c:pt>
                <c:pt idx="93">
                  <c:v>0.6440598247772209</c:v>
                </c:pt>
                <c:pt idx="94">
                  <c:v>0.43588569258785037</c:v>
                </c:pt>
                <c:pt idx="95">
                  <c:v>8.6992566377734545E-2</c:v>
                </c:pt>
                <c:pt idx="96">
                  <c:v>0.35300906672441734</c:v>
                </c:pt>
                <c:pt idx="97">
                  <c:v>0.10219410328396998</c:v>
                </c:pt>
                <c:pt idx="98">
                  <c:v>0.25320598011704198</c:v>
                </c:pt>
                <c:pt idx="99">
                  <c:v>0.5988211558562675</c:v>
                </c:pt>
                <c:pt idx="100">
                  <c:v>0.10556357188521032</c:v>
                </c:pt>
                <c:pt idx="101">
                  <c:v>0.51748495951662621</c:v>
                </c:pt>
                <c:pt idx="102">
                  <c:v>3.9166579973311699</c:v>
                </c:pt>
                <c:pt idx="103">
                  <c:v>2.0588212860945001</c:v>
                </c:pt>
                <c:pt idx="104">
                  <c:v>0.85145855074748922</c:v>
                </c:pt>
                <c:pt idx="105">
                  <c:v>0.27730378405561207</c:v>
                </c:pt>
                <c:pt idx="106">
                  <c:v>0.24063784085606291</c:v>
                </c:pt>
                <c:pt idx="107">
                  <c:v>3.8169170648023876</c:v>
                </c:pt>
                <c:pt idx="108">
                  <c:v>0.51667064654597727</c:v>
                </c:pt>
                <c:pt idx="109">
                  <c:v>0.90225274827326241</c:v>
                </c:pt>
                <c:pt idx="110">
                  <c:v>1.3763537260197494</c:v>
                </c:pt>
                <c:pt idx="111">
                  <c:v>0.20037401019527495</c:v>
                </c:pt>
                <c:pt idx="112">
                  <c:v>7.9741216213209815E-2</c:v>
                </c:pt>
                <c:pt idx="113">
                  <c:v>0.71369685929287052</c:v>
                </c:pt>
                <c:pt idx="114">
                  <c:v>8.7744523731098562E-2</c:v>
                </c:pt>
                <c:pt idx="115">
                  <c:v>0.17670851999109558</c:v>
                </c:pt>
                <c:pt idx="116">
                  <c:v>1.1260818639445278</c:v>
                </c:pt>
                <c:pt idx="117">
                  <c:v>2.2623422175130563</c:v>
                </c:pt>
                <c:pt idx="118">
                  <c:v>8.8353272608942643E-2</c:v>
                </c:pt>
                <c:pt idx="119">
                  <c:v>0.61785921110121966</c:v>
                </c:pt>
                <c:pt idx="120">
                  <c:v>0.17313008722332385</c:v>
                </c:pt>
                <c:pt idx="121">
                  <c:v>1.4578432614953794</c:v>
                </c:pt>
                <c:pt idx="122">
                  <c:v>1.127388653167537</c:v>
                </c:pt>
                <c:pt idx="123">
                  <c:v>0.76047806012031249</c:v>
                </c:pt>
                <c:pt idx="124">
                  <c:v>2.2137943349905598</c:v>
                </c:pt>
                <c:pt idx="125">
                  <c:v>0.26082957352582248</c:v>
                </c:pt>
                <c:pt idx="126">
                  <c:v>1.0359644147599509</c:v>
                </c:pt>
                <c:pt idx="127">
                  <c:v>2.5858800571522993</c:v>
                </c:pt>
                <c:pt idx="128">
                  <c:v>0.72834016147238978</c:v>
                </c:pt>
                <c:pt idx="129">
                  <c:v>0.94289754726593289</c:v>
                </c:pt>
                <c:pt idx="130">
                  <c:v>3.2399440915617466</c:v>
                </c:pt>
                <c:pt idx="131">
                  <c:v>0.50056173265441217</c:v>
                </c:pt>
                <c:pt idx="132">
                  <c:v>1.3111294299929785</c:v>
                </c:pt>
                <c:pt idx="133">
                  <c:v>1.2901565485317157</c:v>
                </c:pt>
                <c:pt idx="134">
                  <c:v>0.2899853092330596</c:v>
                </c:pt>
                <c:pt idx="135">
                  <c:v>0.399950257945141</c:v>
                </c:pt>
                <c:pt idx="136">
                  <c:v>0.94065012984737861</c:v>
                </c:pt>
                <c:pt idx="137">
                  <c:v>1.1262766280170775</c:v>
                </c:pt>
                <c:pt idx="138">
                  <c:v>8.9032487139011601E-2</c:v>
                </c:pt>
                <c:pt idx="139">
                  <c:v>0.2023840319719995</c:v>
                </c:pt>
                <c:pt idx="140">
                  <c:v>0.40879634005487719</c:v>
                </c:pt>
                <c:pt idx="141">
                  <c:v>2.3935201502071242</c:v>
                </c:pt>
                <c:pt idx="142">
                  <c:v>0.28968972046894992</c:v>
                </c:pt>
                <c:pt idx="143">
                  <c:v>0.47185397097008502</c:v>
                </c:pt>
                <c:pt idx="144">
                  <c:v>5.8776306547970052E-2</c:v>
                </c:pt>
                <c:pt idx="145">
                  <c:v>1.1622679649199559</c:v>
                </c:pt>
                <c:pt idx="146">
                  <c:v>1.855831068021025</c:v>
                </c:pt>
                <c:pt idx="147">
                  <c:v>1.126746976298868</c:v>
                </c:pt>
                <c:pt idx="148">
                  <c:v>3.8262254061781671</c:v>
                </c:pt>
                <c:pt idx="149">
                  <c:v>0.14133687333971268</c:v>
                </c:pt>
                <c:pt idx="150">
                  <c:v>0.37469804907454574</c:v>
                </c:pt>
                <c:pt idx="151">
                  <c:v>0.31976010030850505</c:v>
                </c:pt>
                <c:pt idx="152">
                  <c:v>1.5871599011545325</c:v>
                </c:pt>
                <c:pt idx="153">
                  <c:v>0.41120370987237548</c:v>
                </c:pt>
                <c:pt idx="154">
                  <c:v>0.63968445731044732</c:v>
                </c:pt>
                <c:pt idx="155">
                  <c:v>1.011265406403757</c:v>
                </c:pt>
                <c:pt idx="156">
                  <c:v>0.35122823983295082</c:v>
                </c:pt>
                <c:pt idx="157">
                  <c:v>0.62312916119580497</c:v>
                </c:pt>
                <c:pt idx="158">
                  <c:v>2.2951263452680344</c:v>
                </c:pt>
                <c:pt idx="159">
                  <c:v>0.80490276846550379</c:v>
                </c:pt>
                <c:pt idx="160">
                  <c:v>4.9166832772262978</c:v>
                </c:pt>
                <c:pt idx="161">
                  <c:v>0.46242019273676777</c:v>
                </c:pt>
                <c:pt idx="162">
                  <c:v>0.92939317824332379</c:v>
                </c:pt>
                <c:pt idx="163">
                  <c:v>4.487331803449876E-2</c:v>
                </c:pt>
                <c:pt idx="164">
                  <c:v>1.0589560413089414</c:v>
                </c:pt>
                <c:pt idx="165">
                  <c:v>1.7486511867757544</c:v>
                </c:pt>
                <c:pt idx="166">
                  <c:v>0.55178356963753783</c:v>
                </c:pt>
                <c:pt idx="167">
                  <c:v>1.5986125754324565</c:v>
                </c:pt>
                <c:pt idx="168">
                  <c:v>0.10606019859254461</c:v>
                </c:pt>
                <c:pt idx="169">
                  <c:v>0.27110051958542214</c:v>
                </c:pt>
                <c:pt idx="170">
                  <c:v>0.26329176872986038</c:v>
                </c:pt>
                <c:pt idx="171">
                  <c:v>2.2817995097989083</c:v>
                </c:pt>
                <c:pt idx="172">
                  <c:v>2.230638563366766</c:v>
                </c:pt>
                <c:pt idx="173">
                  <c:v>2.2315380856233755</c:v>
                </c:pt>
                <c:pt idx="174">
                  <c:v>0.90469311885429449</c:v>
                </c:pt>
                <c:pt idx="175">
                  <c:v>0.42531304976008122</c:v>
                </c:pt>
                <c:pt idx="176">
                  <c:v>0.76594698475653722</c:v>
                </c:pt>
                <c:pt idx="177">
                  <c:v>2.6103586373420287</c:v>
                </c:pt>
                <c:pt idx="178">
                  <c:v>0.75325763012294233</c:v>
                </c:pt>
                <c:pt idx="179">
                  <c:v>2.172346964554619</c:v>
                </c:pt>
                <c:pt idx="180">
                  <c:v>0.95648968088196462</c:v>
                </c:pt>
                <c:pt idx="181">
                  <c:v>5.7240182790369867E-2</c:v>
                </c:pt>
                <c:pt idx="182">
                  <c:v>2.1846382915478859</c:v>
                </c:pt>
                <c:pt idx="183">
                  <c:v>1.442930381999755</c:v>
                </c:pt>
                <c:pt idx="184">
                  <c:v>2.5567269991078745</c:v>
                </c:pt>
                <c:pt idx="185">
                  <c:v>0.87887959886578071</c:v>
                </c:pt>
                <c:pt idx="186">
                  <c:v>0.46236266150823857</c:v>
                </c:pt>
                <c:pt idx="187">
                  <c:v>0.57419388854387199</c:v>
                </c:pt>
                <c:pt idx="188">
                  <c:v>1.9511546520467089E-4</c:v>
                </c:pt>
                <c:pt idx="189">
                  <c:v>0.44023561286110252</c:v>
                </c:pt>
                <c:pt idx="190">
                  <c:v>0.29876094773523554</c:v>
                </c:pt>
                <c:pt idx="191">
                  <c:v>0.58443746950155062</c:v>
                </c:pt>
                <c:pt idx="192">
                  <c:v>5.0842471082502873E-3</c:v>
                </c:pt>
                <c:pt idx="193">
                  <c:v>0.40786081504181704</c:v>
                </c:pt>
                <c:pt idx="194">
                  <c:v>0.28569406207328885</c:v>
                </c:pt>
                <c:pt idx="195">
                  <c:v>0.73398006225489765</c:v>
                </c:pt>
                <c:pt idx="196">
                  <c:v>0.89374995548267366</c:v>
                </c:pt>
                <c:pt idx="197">
                  <c:v>2.4871901646338657</c:v>
                </c:pt>
                <c:pt idx="198">
                  <c:v>2.5914871103152293</c:v>
                </c:pt>
                <c:pt idx="199">
                  <c:v>6.1568280533355066</c:v>
                </c:pt>
              </c:numCache>
            </c:numRef>
          </c:xVal>
          <c:yVal>
            <c:numRef>
              <c:f>Correlazione!$C$3:$C$202</c:f>
              <c:numCache>
                <c:formatCode>General</c:formatCode>
                <c:ptCount val="200"/>
                <c:pt idx="0">
                  <c:v>0.1630268301352043</c:v>
                </c:pt>
                <c:pt idx="1">
                  <c:v>0.12492522153141586</c:v>
                </c:pt>
                <c:pt idx="2">
                  <c:v>1.099894123266038</c:v>
                </c:pt>
                <c:pt idx="3">
                  <c:v>0.22292617776071683</c:v>
                </c:pt>
                <c:pt idx="4">
                  <c:v>3.0784382253475795</c:v>
                </c:pt>
                <c:pt idx="5">
                  <c:v>0.84999755760170759</c:v>
                </c:pt>
                <c:pt idx="6">
                  <c:v>1.8916750693976851</c:v>
                </c:pt>
                <c:pt idx="7">
                  <c:v>0.38460590435169284</c:v>
                </c:pt>
                <c:pt idx="8">
                  <c:v>2.4238232532262831</c:v>
                </c:pt>
                <c:pt idx="9">
                  <c:v>0.19253325806886881</c:v>
                </c:pt>
                <c:pt idx="10">
                  <c:v>0.42178072712672238</c:v>
                </c:pt>
                <c:pt idx="11">
                  <c:v>2.8495650491379494</c:v>
                </c:pt>
                <c:pt idx="12">
                  <c:v>0.6103188125865765</c:v>
                </c:pt>
                <c:pt idx="13">
                  <c:v>1.3340281009434016</c:v>
                </c:pt>
                <c:pt idx="14">
                  <c:v>1.3604587914161461</c:v>
                </c:pt>
                <c:pt idx="15">
                  <c:v>0.63122735479312486</c:v>
                </c:pt>
                <c:pt idx="16">
                  <c:v>0.78153818504112516</c:v>
                </c:pt>
                <c:pt idx="17">
                  <c:v>0.54405768511585817</c:v>
                </c:pt>
                <c:pt idx="18">
                  <c:v>1.5855182867319852</c:v>
                </c:pt>
                <c:pt idx="19">
                  <c:v>1.0569723159624804</c:v>
                </c:pt>
                <c:pt idx="20">
                  <c:v>0.38639622248782279</c:v>
                </c:pt>
                <c:pt idx="21">
                  <c:v>0.25395536467794155</c:v>
                </c:pt>
                <c:pt idx="22">
                  <c:v>0.2615390977573806</c:v>
                </c:pt>
                <c:pt idx="23">
                  <c:v>1.0284097879273535</c:v>
                </c:pt>
                <c:pt idx="24">
                  <c:v>0.66596535845418936</c:v>
                </c:pt>
                <c:pt idx="25">
                  <c:v>0.86974474619687037</c:v>
                </c:pt>
                <c:pt idx="26">
                  <c:v>0.81413422960942816</c:v>
                </c:pt>
                <c:pt idx="27">
                  <c:v>0.11163250697415447</c:v>
                </c:pt>
                <c:pt idx="28">
                  <c:v>0.32761426824205792</c:v>
                </c:pt>
                <c:pt idx="29">
                  <c:v>0.34670793164829561</c:v>
                </c:pt>
                <c:pt idx="30">
                  <c:v>2.3754649172683542</c:v>
                </c:pt>
                <c:pt idx="31">
                  <c:v>2.1887842735422947</c:v>
                </c:pt>
                <c:pt idx="32">
                  <c:v>1.6088468836086005</c:v>
                </c:pt>
                <c:pt idx="33">
                  <c:v>1.9874166350091298</c:v>
                </c:pt>
                <c:pt idx="34">
                  <c:v>1.857529160688455</c:v>
                </c:pt>
                <c:pt idx="35">
                  <c:v>4.8102282695440834</c:v>
                </c:pt>
                <c:pt idx="36">
                  <c:v>0.14662797683364343</c:v>
                </c:pt>
                <c:pt idx="37">
                  <c:v>0.56551933956918721</c:v>
                </c:pt>
                <c:pt idx="38">
                  <c:v>1.6607351279033609</c:v>
                </c:pt>
                <c:pt idx="39">
                  <c:v>0.18595752748526523</c:v>
                </c:pt>
                <c:pt idx="40">
                  <c:v>0.61087468676940793</c:v>
                </c:pt>
                <c:pt idx="41">
                  <c:v>0.40709142507902857</c:v>
                </c:pt>
                <c:pt idx="42">
                  <c:v>1.7473991649057752</c:v>
                </c:pt>
                <c:pt idx="43">
                  <c:v>7.740692396311713E-2</c:v>
                </c:pt>
                <c:pt idx="44">
                  <c:v>0.50741326409748944</c:v>
                </c:pt>
                <c:pt idx="45">
                  <c:v>1.3759039089946299</c:v>
                </c:pt>
                <c:pt idx="46">
                  <c:v>0.44809079404533175</c:v>
                </c:pt>
                <c:pt idx="47">
                  <c:v>1.7393065038129789</c:v>
                </c:pt>
                <c:pt idx="48">
                  <c:v>0.27935710116008022</c:v>
                </c:pt>
                <c:pt idx="49">
                  <c:v>2.5899439098580888</c:v>
                </c:pt>
                <c:pt idx="50">
                  <c:v>0.40202999087076841</c:v>
                </c:pt>
                <c:pt idx="51">
                  <c:v>0.84425347379127336</c:v>
                </c:pt>
                <c:pt idx="52">
                  <c:v>0.62084881078203713</c:v>
                </c:pt>
                <c:pt idx="53">
                  <c:v>1.3163468525251425</c:v>
                </c:pt>
                <c:pt idx="54">
                  <c:v>0.67787476029005589</c:v>
                </c:pt>
                <c:pt idx="55">
                  <c:v>1.2034410396654105</c:v>
                </c:pt>
                <c:pt idx="56">
                  <c:v>1.4681589871833611</c:v>
                </c:pt>
                <c:pt idx="57">
                  <c:v>0.93600380123939042</c:v>
                </c:pt>
                <c:pt idx="58">
                  <c:v>0.45510364499736983</c:v>
                </c:pt>
                <c:pt idx="59">
                  <c:v>0.14448138313101799</c:v>
                </c:pt>
                <c:pt idx="60">
                  <c:v>0.80604538089549072</c:v>
                </c:pt>
                <c:pt idx="61">
                  <c:v>0.77834017895972951</c:v>
                </c:pt>
                <c:pt idx="62">
                  <c:v>0.29659849874619648</c:v>
                </c:pt>
                <c:pt idx="63">
                  <c:v>1.9812820124167139</c:v>
                </c:pt>
                <c:pt idx="64">
                  <c:v>0.23388897604770048</c:v>
                </c:pt>
                <c:pt idx="65">
                  <c:v>0.27020458854512203</c:v>
                </c:pt>
                <c:pt idx="66">
                  <c:v>1.1215925685252424</c:v>
                </c:pt>
                <c:pt idx="67">
                  <c:v>0.20230957557635465</c:v>
                </c:pt>
                <c:pt idx="68">
                  <c:v>0.21666767136042006</c:v>
                </c:pt>
                <c:pt idx="69">
                  <c:v>0.7387924305032465</c:v>
                </c:pt>
                <c:pt idx="70">
                  <c:v>0.57172686259419081</c:v>
                </c:pt>
                <c:pt idx="71">
                  <c:v>2.3127147405896107</c:v>
                </c:pt>
                <c:pt idx="72">
                  <c:v>0.87807723273978844</c:v>
                </c:pt>
                <c:pt idx="73">
                  <c:v>1.4280958233570746</c:v>
                </c:pt>
                <c:pt idx="74">
                  <c:v>9.270726077438271E-2</c:v>
                </c:pt>
                <c:pt idx="75">
                  <c:v>1.4757579338892839</c:v>
                </c:pt>
                <c:pt idx="76">
                  <c:v>0.50096267837803343</c:v>
                </c:pt>
                <c:pt idx="77">
                  <c:v>0.39622726834585992</c:v>
                </c:pt>
                <c:pt idx="78">
                  <c:v>1.1453582220895058</c:v>
                </c:pt>
                <c:pt idx="79">
                  <c:v>1.1174234529762892</c:v>
                </c:pt>
                <c:pt idx="80">
                  <c:v>5.8647842154474036E-2</c:v>
                </c:pt>
                <c:pt idx="81">
                  <c:v>0.32252470874249445</c:v>
                </c:pt>
                <c:pt idx="82">
                  <c:v>2.0538831283705141</c:v>
                </c:pt>
                <c:pt idx="83">
                  <c:v>0.17310088356607456</c:v>
                </c:pt>
                <c:pt idx="84">
                  <c:v>0.70750704145045384</c:v>
                </c:pt>
                <c:pt idx="85">
                  <c:v>0.89645019346372612</c:v>
                </c:pt>
                <c:pt idx="86">
                  <c:v>0.88491062821175648</c:v>
                </c:pt>
                <c:pt idx="87">
                  <c:v>1.1017686797092123</c:v>
                </c:pt>
                <c:pt idx="88">
                  <c:v>0.61608449825234102</c:v>
                </c:pt>
                <c:pt idx="89">
                  <c:v>1.8106271420455988</c:v>
                </c:pt>
                <c:pt idx="90">
                  <c:v>1.6816186057587581</c:v>
                </c:pt>
                <c:pt idx="91">
                  <c:v>0.25906213622385227</c:v>
                </c:pt>
                <c:pt idx="92">
                  <c:v>2.2371509477525873</c:v>
                </c:pt>
                <c:pt idx="93">
                  <c:v>0.99609860400104311</c:v>
                </c:pt>
                <c:pt idx="94">
                  <c:v>1.3055841162507651</c:v>
                </c:pt>
                <c:pt idx="95">
                  <c:v>0.19584486044246857</c:v>
                </c:pt>
                <c:pt idx="96">
                  <c:v>1.8395673983702259</c:v>
                </c:pt>
                <c:pt idx="97">
                  <c:v>1.9843495105408853</c:v>
                </c:pt>
                <c:pt idx="98">
                  <c:v>0.81604938688486539</c:v>
                </c:pt>
                <c:pt idx="99">
                  <c:v>2.1983776539168889</c:v>
                </c:pt>
                <c:pt idx="100">
                  <c:v>0.36657628848208212</c:v>
                </c:pt>
                <c:pt idx="101">
                  <c:v>0.77587857242956171</c:v>
                </c:pt>
                <c:pt idx="102">
                  <c:v>0.42993066579796274</c:v>
                </c:pt>
                <c:pt idx="103">
                  <c:v>0.73969720986086163</c:v>
                </c:pt>
                <c:pt idx="104">
                  <c:v>0.94344328207957751</c:v>
                </c:pt>
                <c:pt idx="105">
                  <c:v>0.28026747393597745</c:v>
                </c:pt>
                <c:pt idx="106">
                  <c:v>0.13699412247287826</c:v>
                </c:pt>
                <c:pt idx="107">
                  <c:v>0.27342230827281999</c:v>
                </c:pt>
                <c:pt idx="108">
                  <c:v>2.054508666810162</c:v>
                </c:pt>
                <c:pt idx="109">
                  <c:v>4.5659183442442561</c:v>
                </c:pt>
                <c:pt idx="110">
                  <c:v>2.0555499637274313</c:v>
                </c:pt>
                <c:pt idx="111">
                  <c:v>1.8808025416528642</c:v>
                </c:pt>
                <c:pt idx="112">
                  <c:v>1.5465535749693331</c:v>
                </c:pt>
                <c:pt idx="113">
                  <c:v>1.6854020346331697</c:v>
                </c:pt>
                <c:pt idx="114">
                  <c:v>0.76340059201566912</c:v>
                </c:pt>
                <c:pt idx="115">
                  <c:v>0.26274979950784766</c:v>
                </c:pt>
                <c:pt idx="116">
                  <c:v>0.47594504162110124</c:v>
                </c:pt>
                <c:pt idx="117">
                  <c:v>1.9593116830500594</c:v>
                </c:pt>
                <c:pt idx="118">
                  <c:v>8.8221544134496649E-2</c:v>
                </c:pt>
                <c:pt idx="119">
                  <c:v>1.0451052086872576</c:v>
                </c:pt>
                <c:pt idx="120">
                  <c:v>0.84542814373460373</c:v>
                </c:pt>
                <c:pt idx="121">
                  <c:v>0.81883961366251901</c:v>
                </c:pt>
                <c:pt idx="122">
                  <c:v>1.2250521978587154</c:v>
                </c:pt>
                <c:pt idx="123">
                  <c:v>3.1865967308223655</c:v>
                </c:pt>
                <c:pt idx="124">
                  <c:v>1.6786922137141815</c:v>
                </c:pt>
                <c:pt idx="125">
                  <c:v>0.39298790494010494</c:v>
                </c:pt>
                <c:pt idx="126">
                  <c:v>0.77825148597675176</c:v>
                </c:pt>
                <c:pt idx="127">
                  <c:v>0.49414047644125247</c:v>
                </c:pt>
                <c:pt idx="128">
                  <c:v>0.42337468621590929</c:v>
                </c:pt>
                <c:pt idx="129">
                  <c:v>0.35297673369632432</c:v>
                </c:pt>
                <c:pt idx="130">
                  <c:v>0.51213387832869683</c:v>
                </c:pt>
                <c:pt idx="131">
                  <c:v>1.5342789626667528</c:v>
                </c:pt>
                <c:pt idx="132">
                  <c:v>0.7201403378403276</c:v>
                </c:pt>
                <c:pt idx="133">
                  <c:v>0.34724761527017112</c:v>
                </c:pt>
                <c:pt idx="134">
                  <c:v>0.33265955967271543</c:v>
                </c:pt>
                <c:pt idx="135">
                  <c:v>1.4522968105886493</c:v>
                </c:pt>
                <c:pt idx="136">
                  <c:v>0.65332061875684122</c:v>
                </c:pt>
                <c:pt idx="137">
                  <c:v>1.2345435471872461</c:v>
                </c:pt>
                <c:pt idx="138">
                  <c:v>0.48171789499664136</c:v>
                </c:pt>
                <c:pt idx="139">
                  <c:v>2.2961648409304272</c:v>
                </c:pt>
                <c:pt idx="140">
                  <c:v>0.8390584427225708</c:v>
                </c:pt>
                <c:pt idx="141">
                  <c:v>0.30786563570205533</c:v>
                </c:pt>
                <c:pt idx="142">
                  <c:v>0.39773374803050948</c:v>
                </c:pt>
                <c:pt idx="143">
                  <c:v>0.89069048913163607</c:v>
                </c:pt>
                <c:pt idx="144">
                  <c:v>0.76511501281285277</c:v>
                </c:pt>
                <c:pt idx="145">
                  <c:v>2.0379856222376072</c:v>
                </c:pt>
                <c:pt idx="146">
                  <c:v>0.18745356999259721</c:v>
                </c:pt>
                <c:pt idx="147">
                  <c:v>3.4197234585096998</c:v>
                </c:pt>
                <c:pt idx="148">
                  <c:v>2.4746752397149807</c:v>
                </c:pt>
                <c:pt idx="149">
                  <c:v>1.0295752056981418</c:v>
                </c:pt>
                <c:pt idx="150">
                  <c:v>1.4878201691539725</c:v>
                </c:pt>
                <c:pt idx="151">
                  <c:v>0.16108605534717996</c:v>
                </c:pt>
                <c:pt idx="152">
                  <c:v>0.52440894784729186</c:v>
                </c:pt>
                <c:pt idx="153">
                  <c:v>0.22752506308065329</c:v>
                </c:pt>
                <c:pt idx="154">
                  <c:v>0.81347086781261568</c:v>
                </c:pt>
                <c:pt idx="155">
                  <c:v>6.0294362068341718E-2</c:v>
                </c:pt>
                <c:pt idx="156">
                  <c:v>8.9601319104318775E-2</c:v>
                </c:pt>
                <c:pt idx="157">
                  <c:v>0.51385148228406696</c:v>
                </c:pt>
                <c:pt idx="158">
                  <c:v>1.2626355224387</c:v>
                </c:pt>
                <c:pt idx="159">
                  <c:v>0.9151267362887795</c:v>
                </c:pt>
                <c:pt idx="160">
                  <c:v>0.55411814949693328</c:v>
                </c:pt>
                <c:pt idx="161">
                  <c:v>3.0190210720677859</c:v>
                </c:pt>
                <c:pt idx="162">
                  <c:v>9.392433416179799E-2</c:v>
                </c:pt>
                <c:pt idx="163">
                  <c:v>5.1874958026793185E-2</c:v>
                </c:pt>
                <c:pt idx="164">
                  <c:v>9.2654547105591248E-2</c:v>
                </c:pt>
                <c:pt idx="165">
                  <c:v>0.20052951645181216</c:v>
                </c:pt>
                <c:pt idx="166">
                  <c:v>0.47569545572107241</c:v>
                </c:pt>
                <c:pt idx="167">
                  <c:v>0.74722185547624431</c:v>
                </c:pt>
                <c:pt idx="168">
                  <c:v>2.1357866672063648</c:v>
                </c:pt>
                <c:pt idx="169">
                  <c:v>0.13416235454680076</c:v>
                </c:pt>
                <c:pt idx="170">
                  <c:v>0.52344199625378851</c:v>
                </c:pt>
                <c:pt idx="171">
                  <c:v>0.42761250200484302</c:v>
                </c:pt>
                <c:pt idx="172">
                  <c:v>1.6237343452711797</c:v>
                </c:pt>
                <c:pt idx="173">
                  <c:v>1.8252280310305675</c:v>
                </c:pt>
                <c:pt idx="174">
                  <c:v>0.21709262836649268</c:v>
                </c:pt>
                <c:pt idx="175">
                  <c:v>1.5148609214391482</c:v>
                </c:pt>
                <c:pt idx="176">
                  <c:v>0.22762824535217718</c:v>
                </c:pt>
                <c:pt idx="177">
                  <c:v>0.56139483724905082</c:v>
                </c:pt>
                <c:pt idx="178">
                  <c:v>0.99353406051388105</c:v>
                </c:pt>
                <c:pt idx="179">
                  <c:v>1.0451530220180738</c:v>
                </c:pt>
                <c:pt idx="180">
                  <c:v>0.94087399236301106</c:v>
                </c:pt>
                <c:pt idx="181">
                  <c:v>1.5401230768770491</c:v>
                </c:pt>
                <c:pt idx="182">
                  <c:v>0.43803895225735318</c:v>
                </c:pt>
                <c:pt idx="183">
                  <c:v>0.64832377997138779</c:v>
                </c:pt>
                <c:pt idx="184">
                  <c:v>1.5079798975940573</c:v>
                </c:pt>
                <c:pt idx="185">
                  <c:v>1.6774665023090711</c:v>
                </c:pt>
                <c:pt idx="186">
                  <c:v>0.22768448639979968</c:v>
                </c:pt>
                <c:pt idx="187">
                  <c:v>0.17681099749225213</c:v>
                </c:pt>
                <c:pt idx="188">
                  <c:v>0.93522596262696533</c:v>
                </c:pt>
                <c:pt idx="189">
                  <c:v>0.3926217788639364</c:v>
                </c:pt>
                <c:pt idx="190">
                  <c:v>0.18284191293291308</c:v>
                </c:pt>
                <c:pt idx="191">
                  <c:v>0.47142259276653742</c:v>
                </c:pt>
                <c:pt idx="192">
                  <c:v>1.330425856739718</c:v>
                </c:pt>
                <c:pt idx="193">
                  <c:v>0.95912838161670233</c:v>
                </c:pt>
                <c:pt idx="194">
                  <c:v>0.85809809731102282</c:v>
                </c:pt>
                <c:pt idx="195">
                  <c:v>2.4582587654953878</c:v>
                </c:pt>
                <c:pt idx="196">
                  <c:v>0.25116288253052738</c:v>
                </c:pt>
                <c:pt idx="197">
                  <c:v>1.8351512750788597</c:v>
                </c:pt>
                <c:pt idx="198">
                  <c:v>1.3446443531398178</c:v>
                </c:pt>
                <c:pt idx="199">
                  <c:v>0.39361924628116685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2-40E1-A2E7-1CD29D801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27215"/>
        <c:axId val="1922675759"/>
      </c:scatterChart>
      <c:valAx>
        <c:axId val="28212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2675759"/>
        <c:crosses val="autoZero"/>
        <c:crossBetween val="midCat"/>
      </c:valAx>
      <c:valAx>
        <c:axId val="19226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12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P-C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Correlazione!$B$3:$B$202</c:f>
              <c:numCache>
                <c:formatCode>General</c:formatCode>
                <c:ptCount val="200"/>
                <c:pt idx="0">
                  <c:v>0.43711520171939677</c:v>
                </c:pt>
                <c:pt idx="1">
                  <c:v>2.0052778044218393</c:v>
                </c:pt>
                <c:pt idx="2">
                  <c:v>1.7520521740613202</c:v>
                </c:pt>
                <c:pt idx="3">
                  <c:v>2.8020642130684905</c:v>
                </c:pt>
                <c:pt idx="4">
                  <c:v>0.72035772379527307</c:v>
                </c:pt>
                <c:pt idx="5">
                  <c:v>0.23432620694155346</c:v>
                </c:pt>
                <c:pt idx="6">
                  <c:v>0.9165582850391244</c:v>
                </c:pt>
                <c:pt idx="7">
                  <c:v>1.175957705009933</c:v>
                </c:pt>
                <c:pt idx="8">
                  <c:v>1.5564070688384215</c:v>
                </c:pt>
                <c:pt idx="9">
                  <c:v>0.53346178741536621</c:v>
                </c:pt>
                <c:pt idx="10">
                  <c:v>0.61431282058827419</c:v>
                </c:pt>
                <c:pt idx="11">
                  <c:v>1.8580216334432982</c:v>
                </c:pt>
                <c:pt idx="12">
                  <c:v>9.6958388053781486E-2</c:v>
                </c:pt>
                <c:pt idx="13">
                  <c:v>0.65752450077313007</c:v>
                </c:pt>
                <c:pt idx="14">
                  <c:v>1.5520756349051883</c:v>
                </c:pt>
                <c:pt idx="15">
                  <c:v>1.3402555674646139E-2</c:v>
                </c:pt>
                <c:pt idx="16">
                  <c:v>3.5534321138923302</c:v>
                </c:pt>
                <c:pt idx="17">
                  <c:v>0.13006031963243403</c:v>
                </c:pt>
                <c:pt idx="18">
                  <c:v>0.47759252182808487</c:v>
                </c:pt>
                <c:pt idx="19">
                  <c:v>0.7297231761350601</c:v>
                </c:pt>
                <c:pt idx="20">
                  <c:v>3.6321735688303884</c:v>
                </c:pt>
                <c:pt idx="21">
                  <c:v>0.59201303374234882</c:v>
                </c:pt>
                <c:pt idx="22">
                  <c:v>1.5813912778050025</c:v>
                </c:pt>
                <c:pt idx="23">
                  <c:v>0.19894015037996277</c:v>
                </c:pt>
                <c:pt idx="24">
                  <c:v>1.3377016743093204</c:v>
                </c:pt>
                <c:pt idx="25">
                  <c:v>0.66270388392557045</c:v>
                </c:pt>
                <c:pt idx="26">
                  <c:v>1.2629767812131345</c:v>
                </c:pt>
                <c:pt idx="27">
                  <c:v>1.4552289926474684</c:v>
                </c:pt>
                <c:pt idx="28">
                  <c:v>0.32404540900233986</c:v>
                </c:pt>
                <c:pt idx="29">
                  <c:v>2.449819120016588</c:v>
                </c:pt>
                <c:pt idx="30">
                  <c:v>0.72840613293362289</c:v>
                </c:pt>
                <c:pt idx="31">
                  <c:v>2.2657094926113501E-2</c:v>
                </c:pt>
                <c:pt idx="32">
                  <c:v>0.26726341171447365</c:v>
                </c:pt>
                <c:pt idx="33">
                  <c:v>0.19171801149732456</c:v>
                </c:pt>
                <c:pt idx="34">
                  <c:v>1.4202649578856954</c:v>
                </c:pt>
                <c:pt idx="35">
                  <c:v>0.77702191653927233</c:v>
                </c:pt>
                <c:pt idx="36">
                  <c:v>7.4353298936563741E-2</c:v>
                </c:pt>
                <c:pt idx="37">
                  <c:v>0.22501134677517304</c:v>
                </c:pt>
                <c:pt idx="38">
                  <c:v>1.2157931112469933</c:v>
                </c:pt>
                <c:pt idx="39">
                  <c:v>1.0279736943430557</c:v>
                </c:pt>
                <c:pt idx="40">
                  <c:v>4.1805189812423782</c:v>
                </c:pt>
                <c:pt idx="41">
                  <c:v>1.836282458246562</c:v>
                </c:pt>
                <c:pt idx="42">
                  <c:v>8.2496570356666396E-2</c:v>
                </c:pt>
                <c:pt idx="43">
                  <c:v>0.52271854262889073</c:v>
                </c:pt>
                <c:pt idx="44">
                  <c:v>6.6118654073616098E-2</c:v>
                </c:pt>
                <c:pt idx="45">
                  <c:v>0.12023859214679512</c:v>
                </c:pt>
                <c:pt idx="46">
                  <c:v>0.3897698308568322</c:v>
                </c:pt>
                <c:pt idx="47">
                  <c:v>2.220732939132867</c:v>
                </c:pt>
                <c:pt idx="48">
                  <c:v>0.3688079125299088</c:v>
                </c:pt>
                <c:pt idx="49">
                  <c:v>2.0811960252085346</c:v>
                </c:pt>
                <c:pt idx="50">
                  <c:v>0.21180365672261828</c:v>
                </c:pt>
                <c:pt idx="51">
                  <c:v>5.2772888618898728E-2</c:v>
                </c:pt>
                <c:pt idx="52">
                  <c:v>2.5274436709473944</c:v>
                </c:pt>
                <c:pt idx="53">
                  <c:v>0.66004373138093619</c:v>
                </c:pt>
                <c:pt idx="54">
                  <c:v>0.27888550012392554</c:v>
                </c:pt>
                <c:pt idx="55">
                  <c:v>1.9106489979271728</c:v>
                </c:pt>
                <c:pt idx="56">
                  <c:v>0.46542537260980577</c:v>
                </c:pt>
                <c:pt idx="57">
                  <c:v>0.83344459396899206</c:v>
                </c:pt>
                <c:pt idx="58">
                  <c:v>3.8346927374097799</c:v>
                </c:pt>
                <c:pt idx="59">
                  <c:v>1.2832330964914633</c:v>
                </c:pt>
                <c:pt idx="60">
                  <c:v>0.7817325218776574</c:v>
                </c:pt>
                <c:pt idx="61">
                  <c:v>0.70060514959203246</c:v>
                </c:pt>
                <c:pt idx="62">
                  <c:v>0.70560327147532431</c:v>
                </c:pt>
                <c:pt idx="63">
                  <c:v>0.71149232148600272</c:v>
                </c:pt>
                <c:pt idx="64">
                  <c:v>0.25606913695408884</c:v>
                </c:pt>
                <c:pt idx="65">
                  <c:v>2.8152244118326081E-2</c:v>
                </c:pt>
                <c:pt idx="66">
                  <c:v>0.11842034972443499</c:v>
                </c:pt>
                <c:pt idx="67">
                  <c:v>0.34830696026262231</c:v>
                </c:pt>
                <c:pt idx="68">
                  <c:v>0.91410828850898462</c:v>
                </c:pt>
                <c:pt idx="69">
                  <c:v>1.1649143220038309</c:v>
                </c:pt>
                <c:pt idx="70">
                  <c:v>1.2605645910279308</c:v>
                </c:pt>
                <c:pt idx="71">
                  <c:v>2.4077881567325243</c:v>
                </c:pt>
                <c:pt idx="72">
                  <c:v>0.80167553379484824</c:v>
                </c:pt>
                <c:pt idx="73">
                  <c:v>0.2104292594348435</c:v>
                </c:pt>
                <c:pt idx="74">
                  <c:v>1.0213291025228057</c:v>
                </c:pt>
                <c:pt idx="75">
                  <c:v>4.3502706881590836</c:v>
                </c:pt>
                <c:pt idx="76">
                  <c:v>1.2241964637705145</c:v>
                </c:pt>
                <c:pt idx="77">
                  <c:v>0.1330113530688751</c:v>
                </c:pt>
                <c:pt idx="78">
                  <c:v>1.7180638940260422</c:v>
                </c:pt>
                <c:pt idx="79">
                  <c:v>1.2343182826405044</c:v>
                </c:pt>
                <c:pt idx="80">
                  <c:v>0.27365943949820287</c:v>
                </c:pt>
                <c:pt idx="81">
                  <c:v>1.1077789376329787</c:v>
                </c:pt>
                <c:pt idx="82">
                  <c:v>0.37091526440150657</c:v>
                </c:pt>
                <c:pt idx="83">
                  <c:v>1.2814485888755647</c:v>
                </c:pt>
                <c:pt idx="84">
                  <c:v>0.21892699162343734</c:v>
                </c:pt>
                <c:pt idx="85">
                  <c:v>2.5281112307587335</c:v>
                </c:pt>
                <c:pt idx="86">
                  <c:v>0.24095409099424142</c:v>
                </c:pt>
                <c:pt idx="87">
                  <c:v>0.87543074012267041</c:v>
                </c:pt>
                <c:pt idx="88">
                  <c:v>0.73019766653051776</c:v>
                </c:pt>
                <c:pt idx="89">
                  <c:v>3.7764641805111791E-2</c:v>
                </c:pt>
                <c:pt idx="90">
                  <c:v>9.558816314030022E-2</c:v>
                </c:pt>
                <c:pt idx="91">
                  <c:v>0.26375317600066484</c:v>
                </c:pt>
                <c:pt idx="92">
                  <c:v>2.274996597129439</c:v>
                </c:pt>
                <c:pt idx="93">
                  <c:v>0.6440598247772209</c:v>
                </c:pt>
                <c:pt idx="94">
                  <c:v>0.43588569258785037</c:v>
                </c:pt>
                <c:pt idx="95">
                  <c:v>8.6992566377734545E-2</c:v>
                </c:pt>
                <c:pt idx="96">
                  <c:v>0.35300906672441734</c:v>
                </c:pt>
                <c:pt idx="97">
                  <c:v>0.10219410328396998</c:v>
                </c:pt>
                <c:pt idx="98">
                  <c:v>0.25320598011704198</c:v>
                </c:pt>
                <c:pt idx="99">
                  <c:v>0.5988211558562675</c:v>
                </c:pt>
                <c:pt idx="100">
                  <c:v>0.10556357188521032</c:v>
                </c:pt>
                <c:pt idx="101">
                  <c:v>0.51748495951662621</c:v>
                </c:pt>
                <c:pt idx="102">
                  <c:v>3.9166579973311699</c:v>
                </c:pt>
                <c:pt idx="103">
                  <c:v>2.0588212860945001</c:v>
                </c:pt>
                <c:pt idx="104">
                  <c:v>0.85145855074748922</c:v>
                </c:pt>
                <c:pt idx="105">
                  <c:v>0.27730378405561207</c:v>
                </c:pt>
                <c:pt idx="106">
                  <c:v>0.24063784085606291</c:v>
                </c:pt>
                <c:pt idx="107">
                  <c:v>3.8169170648023876</c:v>
                </c:pt>
                <c:pt idx="108">
                  <c:v>0.51667064654597727</c:v>
                </c:pt>
                <c:pt idx="109">
                  <c:v>0.90225274827326241</c:v>
                </c:pt>
                <c:pt idx="110">
                  <c:v>1.3763537260197494</c:v>
                </c:pt>
                <c:pt idx="111">
                  <c:v>0.20037401019527495</c:v>
                </c:pt>
                <c:pt idx="112">
                  <c:v>7.9741216213209815E-2</c:v>
                </c:pt>
                <c:pt idx="113">
                  <c:v>0.71369685929287052</c:v>
                </c:pt>
                <c:pt idx="114">
                  <c:v>8.7744523731098562E-2</c:v>
                </c:pt>
                <c:pt idx="115">
                  <c:v>0.17670851999109558</c:v>
                </c:pt>
                <c:pt idx="116">
                  <c:v>1.1260818639445278</c:v>
                </c:pt>
                <c:pt idx="117">
                  <c:v>2.2623422175130563</c:v>
                </c:pt>
                <c:pt idx="118">
                  <c:v>8.8353272608942643E-2</c:v>
                </c:pt>
                <c:pt idx="119">
                  <c:v>0.61785921110121966</c:v>
                </c:pt>
                <c:pt idx="120">
                  <c:v>0.17313008722332385</c:v>
                </c:pt>
                <c:pt idx="121">
                  <c:v>1.4578432614953794</c:v>
                </c:pt>
                <c:pt idx="122">
                  <c:v>1.127388653167537</c:v>
                </c:pt>
                <c:pt idx="123">
                  <c:v>0.76047806012031249</c:v>
                </c:pt>
                <c:pt idx="124">
                  <c:v>2.2137943349905598</c:v>
                </c:pt>
                <c:pt idx="125">
                  <c:v>0.26082957352582248</c:v>
                </c:pt>
                <c:pt idx="126">
                  <c:v>1.0359644147599509</c:v>
                </c:pt>
                <c:pt idx="127">
                  <c:v>2.5858800571522993</c:v>
                </c:pt>
                <c:pt idx="128">
                  <c:v>0.72834016147238978</c:v>
                </c:pt>
                <c:pt idx="129">
                  <c:v>0.94289754726593289</c:v>
                </c:pt>
                <c:pt idx="130">
                  <c:v>3.2399440915617466</c:v>
                </c:pt>
                <c:pt idx="131">
                  <c:v>0.50056173265441217</c:v>
                </c:pt>
                <c:pt idx="132">
                  <c:v>1.3111294299929785</c:v>
                </c:pt>
                <c:pt idx="133">
                  <c:v>1.2901565485317157</c:v>
                </c:pt>
                <c:pt idx="134">
                  <c:v>0.2899853092330596</c:v>
                </c:pt>
                <c:pt idx="135">
                  <c:v>0.399950257945141</c:v>
                </c:pt>
                <c:pt idx="136">
                  <c:v>0.94065012984737861</c:v>
                </c:pt>
                <c:pt idx="137">
                  <c:v>1.1262766280170775</c:v>
                </c:pt>
                <c:pt idx="138">
                  <c:v>8.9032487139011601E-2</c:v>
                </c:pt>
                <c:pt idx="139">
                  <c:v>0.2023840319719995</c:v>
                </c:pt>
                <c:pt idx="140">
                  <c:v>0.40879634005487719</c:v>
                </c:pt>
                <c:pt idx="141">
                  <c:v>2.3935201502071242</c:v>
                </c:pt>
                <c:pt idx="142">
                  <c:v>0.28968972046894992</c:v>
                </c:pt>
                <c:pt idx="143">
                  <c:v>0.47185397097008502</c:v>
                </c:pt>
                <c:pt idx="144">
                  <c:v>5.8776306547970052E-2</c:v>
                </c:pt>
                <c:pt idx="145">
                  <c:v>1.1622679649199559</c:v>
                </c:pt>
                <c:pt idx="146">
                  <c:v>1.855831068021025</c:v>
                </c:pt>
                <c:pt idx="147">
                  <c:v>1.126746976298868</c:v>
                </c:pt>
                <c:pt idx="148">
                  <c:v>3.8262254061781671</c:v>
                </c:pt>
                <c:pt idx="149">
                  <c:v>0.14133687333971268</c:v>
                </c:pt>
                <c:pt idx="150">
                  <c:v>0.37469804907454574</c:v>
                </c:pt>
                <c:pt idx="151">
                  <c:v>0.31976010030850505</c:v>
                </c:pt>
                <c:pt idx="152">
                  <c:v>1.5871599011545325</c:v>
                </c:pt>
                <c:pt idx="153">
                  <c:v>0.41120370987237548</c:v>
                </c:pt>
                <c:pt idx="154">
                  <c:v>0.63968445731044732</c:v>
                </c:pt>
                <c:pt idx="155">
                  <c:v>1.011265406403757</c:v>
                </c:pt>
                <c:pt idx="156">
                  <c:v>0.35122823983295082</c:v>
                </c:pt>
                <c:pt idx="157">
                  <c:v>0.62312916119580497</c:v>
                </c:pt>
                <c:pt idx="158">
                  <c:v>2.2951263452680344</c:v>
                </c:pt>
                <c:pt idx="159">
                  <c:v>0.80490276846550379</c:v>
                </c:pt>
                <c:pt idx="160">
                  <c:v>4.9166832772262978</c:v>
                </c:pt>
                <c:pt idx="161">
                  <c:v>0.46242019273676777</c:v>
                </c:pt>
                <c:pt idx="162">
                  <c:v>0.92939317824332379</c:v>
                </c:pt>
                <c:pt idx="163">
                  <c:v>4.487331803449876E-2</c:v>
                </c:pt>
                <c:pt idx="164">
                  <c:v>1.0589560413089414</c:v>
                </c:pt>
                <c:pt idx="165">
                  <c:v>1.7486511867757544</c:v>
                </c:pt>
                <c:pt idx="166">
                  <c:v>0.55178356963753783</c:v>
                </c:pt>
                <c:pt idx="167">
                  <c:v>1.5986125754324565</c:v>
                </c:pt>
                <c:pt idx="168">
                  <c:v>0.10606019859254461</c:v>
                </c:pt>
                <c:pt idx="169">
                  <c:v>0.27110051958542214</c:v>
                </c:pt>
                <c:pt idx="170">
                  <c:v>0.26329176872986038</c:v>
                </c:pt>
                <c:pt idx="171">
                  <c:v>2.2817995097989083</c:v>
                </c:pt>
                <c:pt idx="172">
                  <c:v>2.230638563366766</c:v>
                </c:pt>
                <c:pt idx="173">
                  <c:v>2.2315380856233755</c:v>
                </c:pt>
                <c:pt idx="174">
                  <c:v>0.90469311885429449</c:v>
                </c:pt>
                <c:pt idx="175">
                  <c:v>0.42531304976008122</c:v>
                </c:pt>
                <c:pt idx="176">
                  <c:v>0.76594698475653722</c:v>
                </c:pt>
                <c:pt idx="177">
                  <c:v>2.6103586373420287</c:v>
                </c:pt>
                <c:pt idx="178">
                  <c:v>0.75325763012294233</c:v>
                </c:pt>
                <c:pt idx="179">
                  <c:v>2.172346964554619</c:v>
                </c:pt>
                <c:pt idx="180">
                  <c:v>0.95648968088196462</c:v>
                </c:pt>
                <c:pt idx="181">
                  <c:v>5.7240182790369867E-2</c:v>
                </c:pt>
                <c:pt idx="182">
                  <c:v>2.1846382915478859</c:v>
                </c:pt>
                <c:pt idx="183">
                  <c:v>1.442930381999755</c:v>
                </c:pt>
                <c:pt idx="184">
                  <c:v>2.5567269991078745</c:v>
                </c:pt>
                <c:pt idx="185">
                  <c:v>0.87887959886578071</c:v>
                </c:pt>
                <c:pt idx="186">
                  <c:v>0.46236266150823857</c:v>
                </c:pt>
                <c:pt idx="187">
                  <c:v>0.57419388854387199</c:v>
                </c:pt>
                <c:pt idx="188">
                  <c:v>1.9511546520467089E-4</c:v>
                </c:pt>
                <c:pt idx="189">
                  <c:v>0.44023561286110252</c:v>
                </c:pt>
                <c:pt idx="190">
                  <c:v>0.29876094773523554</c:v>
                </c:pt>
                <c:pt idx="191">
                  <c:v>0.58443746950155062</c:v>
                </c:pt>
                <c:pt idx="192">
                  <c:v>5.0842471082502873E-3</c:v>
                </c:pt>
                <c:pt idx="193">
                  <c:v>0.40786081504181704</c:v>
                </c:pt>
                <c:pt idx="194">
                  <c:v>0.28569406207328885</c:v>
                </c:pt>
                <c:pt idx="195">
                  <c:v>0.73398006225489765</c:v>
                </c:pt>
                <c:pt idx="196">
                  <c:v>0.89374995548267366</c:v>
                </c:pt>
                <c:pt idx="197">
                  <c:v>2.4871901646338657</c:v>
                </c:pt>
                <c:pt idx="198">
                  <c:v>2.5914871103152293</c:v>
                </c:pt>
                <c:pt idx="199">
                  <c:v>6.1568280533355066</c:v>
                </c:pt>
              </c:numCache>
            </c:numRef>
          </c:xVal>
          <c:yVal>
            <c:numRef>
              <c:f>Correlazione!$C$3:$C$202</c:f>
              <c:numCache>
                <c:formatCode>General</c:formatCode>
                <c:ptCount val="200"/>
                <c:pt idx="0">
                  <c:v>0.1630268301352043</c:v>
                </c:pt>
                <c:pt idx="1">
                  <c:v>0.12492522153141586</c:v>
                </c:pt>
                <c:pt idx="2">
                  <c:v>1.099894123266038</c:v>
                </c:pt>
                <c:pt idx="3">
                  <c:v>0.22292617776071683</c:v>
                </c:pt>
                <c:pt idx="4">
                  <c:v>3.0784382253475795</c:v>
                </c:pt>
                <c:pt idx="5">
                  <c:v>0.84999755760170759</c:v>
                </c:pt>
                <c:pt idx="6">
                  <c:v>1.8916750693976851</c:v>
                </c:pt>
                <c:pt idx="7">
                  <c:v>0.38460590435169284</c:v>
                </c:pt>
                <c:pt idx="8">
                  <c:v>2.4238232532262831</c:v>
                </c:pt>
                <c:pt idx="9">
                  <c:v>0.19253325806886881</c:v>
                </c:pt>
                <c:pt idx="10">
                  <c:v>0.42178072712672238</c:v>
                </c:pt>
                <c:pt idx="11">
                  <c:v>2.8495650491379494</c:v>
                </c:pt>
                <c:pt idx="12">
                  <c:v>0.6103188125865765</c:v>
                </c:pt>
                <c:pt idx="13">
                  <c:v>1.3340281009434016</c:v>
                </c:pt>
                <c:pt idx="14">
                  <c:v>1.3604587914161461</c:v>
                </c:pt>
                <c:pt idx="15">
                  <c:v>0.63122735479312486</c:v>
                </c:pt>
                <c:pt idx="16">
                  <c:v>0.78153818504112516</c:v>
                </c:pt>
                <c:pt idx="17">
                  <c:v>0.54405768511585817</c:v>
                </c:pt>
                <c:pt idx="18">
                  <c:v>1.5855182867319852</c:v>
                </c:pt>
                <c:pt idx="19">
                  <c:v>1.0569723159624804</c:v>
                </c:pt>
                <c:pt idx="20">
                  <c:v>0.38639622248782279</c:v>
                </c:pt>
                <c:pt idx="21">
                  <c:v>0.25395536467794155</c:v>
                </c:pt>
                <c:pt idx="22">
                  <c:v>0.2615390977573806</c:v>
                </c:pt>
                <c:pt idx="23">
                  <c:v>1.0284097879273535</c:v>
                </c:pt>
                <c:pt idx="24">
                  <c:v>0.66596535845418936</c:v>
                </c:pt>
                <c:pt idx="25">
                  <c:v>0.86974474619687037</c:v>
                </c:pt>
                <c:pt idx="26">
                  <c:v>0.81413422960942816</c:v>
                </c:pt>
                <c:pt idx="27">
                  <c:v>0.11163250697415447</c:v>
                </c:pt>
                <c:pt idx="28">
                  <c:v>0.32761426824205792</c:v>
                </c:pt>
                <c:pt idx="29">
                  <c:v>0.34670793164829561</c:v>
                </c:pt>
                <c:pt idx="30">
                  <c:v>2.3754649172683542</c:v>
                </c:pt>
                <c:pt idx="31">
                  <c:v>2.1887842735422947</c:v>
                </c:pt>
                <c:pt idx="32">
                  <c:v>1.6088468836086005</c:v>
                </c:pt>
                <c:pt idx="33">
                  <c:v>1.9874166350091298</c:v>
                </c:pt>
                <c:pt idx="34">
                  <c:v>1.857529160688455</c:v>
                </c:pt>
                <c:pt idx="35">
                  <c:v>4.8102282695440834</c:v>
                </c:pt>
                <c:pt idx="36">
                  <c:v>0.14662797683364343</c:v>
                </c:pt>
                <c:pt idx="37">
                  <c:v>0.56551933956918721</c:v>
                </c:pt>
                <c:pt idx="38">
                  <c:v>1.6607351279033609</c:v>
                </c:pt>
                <c:pt idx="39">
                  <c:v>0.18595752748526523</c:v>
                </c:pt>
                <c:pt idx="40">
                  <c:v>0.61087468676940793</c:v>
                </c:pt>
                <c:pt idx="41">
                  <c:v>0.40709142507902857</c:v>
                </c:pt>
                <c:pt idx="42">
                  <c:v>1.7473991649057752</c:v>
                </c:pt>
                <c:pt idx="43">
                  <c:v>7.740692396311713E-2</c:v>
                </c:pt>
                <c:pt idx="44">
                  <c:v>0.50741326409748944</c:v>
                </c:pt>
                <c:pt idx="45">
                  <c:v>1.3759039089946299</c:v>
                </c:pt>
                <c:pt idx="46">
                  <c:v>0.44809079404533175</c:v>
                </c:pt>
                <c:pt idx="47">
                  <c:v>1.7393065038129789</c:v>
                </c:pt>
                <c:pt idx="48">
                  <c:v>0.27935710116008022</c:v>
                </c:pt>
                <c:pt idx="49">
                  <c:v>2.5899439098580888</c:v>
                </c:pt>
                <c:pt idx="50">
                  <c:v>0.40202999087076841</c:v>
                </c:pt>
                <c:pt idx="51">
                  <c:v>0.84425347379127336</c:v>
                </c:pt>
                <c:pt idx="52">
                  <c:v>0.62084881078203713</c:v>
                </c:pt>
                <c:pt idx="53">
                  <c:v>1.3163468525251425</c:v>
                </c:pt>
                <c:pt idx="54">
                  <c:v>0.67787476029005589</c:v>
                </c:pt>
                <c:pt idx="55">
                  <c:v>1.2034410396654105</c:v>
                </c:pt>
                <c:pt idx="56">
                  <c:v>1.4681589871833611</c:v>
                </c:pt>
                <c:pt idx="57">
                  <c:v>0.93600380123939042</c:v>
                </c:pt>
                <c:pt idx="58">
                  <c:v>0.45510364499736983</c:v>
                </c:pt>
                <c:pt idx="59">
                  <c:v>0.14448138313101799</c:v>
                </c:pt>
                <c:pt idx="60">
                  <c:v>0.80604538089549072</c:v>
                </c:pt>
                <c:pt idx="61">
                  <c:v>0.77834017895972951</c:v>
                </c:pt>
                <c:pt idx="62">
                  <c:v>0.29659849874619648</c:v>
                </c:pt>
                <c:pt idx="63">
                  <c:v>1.9812820124167139</c:v>
                </c:pt>
                <c:pt idx="64">
                  <c:v>0.23388897604770048</c:v>
                </c:pt>
                <c:pt idx="65">
                  <c:v>0.27020458854512203</c:v>
                </c:pt>
                <c:pt idx="66">
                  <c:v>1.1215925685252424</c:v>
                </c:pt>
                <c:pt idx="67">
                  <c:v>0.20230957557635465</c:v>
                </c:pt>
                <c:pt idx="68">
                  <c:v>0.21666767136042006</c:v>
                </c:pt>
                <c:pt idx="69">
                  <c:v>0.7387924305032465</c:v>
                </c:pt>
                <c:pt idx="70">
                  <c:v>0.57172686259419081</c:v>
                </c:pt>
                <c:pt idx="71">
                  <c:v>2.3127147405896107</c:v>
                </c:pt>
                <c:pt idx="72">
                  <c:v>0.87807723273978844</c:v>
                </c:pt>
                <c:pt idx="73">
                  <c:v>1.4280958233570746</c:v>
                </c:pt>
                <c:pt idx="74">
                  <c:v>9.270726077438271E-2</c:v>
                </c:pt>
                <c:pt idx="75">
                  <c:v>1.4757579338892839</c:v>
                </c:pt>
                <c:pt idx="76">
                  <c:v>0.50096267837803343</c:v>
                </c:pt>
                <c:pt idx="77">
                  <c:v>0.39622726834585992</c:v>
                </c:pt>
                <c:pt idx="78">
                  <c:v>1.1453582220895058</c:v>
                </c:pt>
                <c:pt idx="79">
                  <c:v>1.1174234529762892</c:v>
                </c:pt>
                <c:pt idx="80">
                  <c:v>5.8647842154474036E-2</c:v>
                </c:pt>
                <c:pt idx="81">
                  <c:v>0.32252470874249445</c:v>
                </c:pt>
                <c:pt idx="82">
                  <c:v>2.0538831283705141</c:v>
                </c:pt>
                <c:pt idx="83">
                  <c:v>0.17310088356607456</c:v>
                </c:pt>
                <c:pt idx="84">
                  <c:v>0.70750704145045384</c:v>
                </c:pt>
                <c:pt idx="85">
                  <c:v>0.89645019346372612</c:v>
                </c:pt>
                <c:pt idx="86">
                  <c:v>0.88491062821175648</c:v>
                </c:pt>
                <c:pt idx="87">
                  <c:v>1.1017686797092123</c:v>
                </c:pt>
                <c:pt idx="88">
                  <c:v>0.61608449825234102</c:v>
                </c:pt>
                <c:pt idx="89">
                  <c:v>1.8106271420455988</c:v>
                </c:pt>
                <c:pt idx="90">
                  <c:v>1.6816186057587581</c:v>
                </c:pt>
                <c:pt idx="91">
                  <c:v>0.25906213622385227</c:v>
                </c:pt>
                <c:pt idx="92">
                  <c:v>2.2371509477525873</c:v>
                </c:pt>
                <c:pt idx="93">
                  <c:v>0.99609860400104311</c:v>
                </c:pt>
                <c:pt idx="94">
                  <c:v>1.3055841162507651</c:v>
                </c:pt>
                <c:pt idx="95">
                  <c:v>0.19584486044246857</c:v>
                </c:pt>
                <c:pt idx="96">
                  <c:v>1.8395673983702259</c:v>
                </c:pt>
                <c:pt idx="97">
                  <c:v>1.9843495105408853</c:v>
                </c:pt>
                <c:pt idx="98">
                  <c:v>0.81604938688486539</c:v>
                </c:pt>
                <c:pt idx="99">
                  <c:v>2.1983776539168889</c:v>
                </c:pt>
                <c:pt idx="100">
                  <c:v>0.36657628848208212</c:v>
                </c:pt>
                <c:pt idx="101">
                  <c:v>0.77587857242956171</c:v>
                </c:pt>
                <c:pt idx="102">
                  <c:v>0.42993066579796274</c:v>
                </c:pt>
                <c:pt idx="103">
                  <c:v>0.73969720986086163</c:v>
                </c:pt>
                <c:pt idx="104">
                  <c:v>0.94344328207957751</c:v>
                </c:pt>
                <c:pt idx="105">
                  <c:v>0.28026747393597745</c:v>
                </c:pt>
                <c:pt idx="106">
                  <c:v>0.13699412247287826</c:v>
                </c:pt>
                <c:pt idx="107">
                  <c:v>0.27342230827281999</c:v>
                </c:pt>
                <c:pt idx="108">
                  <c:v>2.054508666810162</c:v>
                </c:pt>
                <c:pt idx="109">
                  <c:v>4.5659183442442561</c:v>
                </c:pt>
                <c:pt idx="110">
                  <c:v>2.0555499637274313</c:v>
                </c:pt>
                <c:pt idx="111">
                  <c:v>1.8808025416528642</c:v>
                </c:pt>
                <c:pt idx="112">
                  <c:v>1.5465535749693331</c:v>
                </c:pt>
                <c:pt idx="113">
                  <c:v>1.6854020346331697</c:v>
                </c:pt>
                <c:pt idx="114">
                  <c:v>0.76340059201566912</c:v>
                </c:pt>
                <c:pt idx="115">
                  <c:v>0.26274979950784766</c:v>
                </c:pt>
                <c:pt idx="116">
                  <c:v>0.47594504162110124</c:v>
                </c:pt>
                <c:pt idx="117">
                  <c:v>1.9593116830500594</c:v>
                </c:pt>
                <c:pt idx="118">
                  <c:v>8.8221544134496649E-2</c:v>
                </c:pt>
                <c:pt idx="119">
                  <c:v>1.0451052086872576</c:v>
                </c:pt>
                <c:pt idx="120">
                  <c:v>0.84542814373460373</c:v>
                </c:pt>
                <c:pt idx="121">
                  <c:v>0.81883961366251901</c:v>
                </c:pt>
                <c:pt idx="122">
                  <c:v>1.2250521978587154</c:v>
                </c:pt>
                <c:pt idx="123">
                  <c:v>3.1865967308223655</c:v>
                </c:pt>
                <c:pt idx="124">
                  <c:v>1.6786922137141815</c:v>
                </c:pt>
                <c:pt idx="125">
                  <c:v>0.39298790494010494</c:v>
                </c:pt>
                <c:pt idx="126">
                  <c:v>0.77825148597675176</c:v>
                </c:pt>
                <c:pt idx="127">
                  <c:v>0.49414047644125247</c:v>
                </c:pt>
                <c:pt idx="128">
                  <c:v>0.42337468621590929</c:v>
                </c:pt>
                <c:pt idx="129">
                  <c:v>0.35297673369632432</c:v>
                </c:pt>
                <c:pt idx="130">
                  <c:v>0.51213387832869683</c:v>
                </c:pt>
                <c:pt idx="131">
                  <c:v>1.5342789626667528</c:v>
                </c:pt>
                <c:pt idx="132">
                  <c:v>0.7201403378403276</c:v>
                </c:pt>
                <c:pt idx="133">
                  <c:v>0.34724761527017112</c:v>
                </c:pt>
                <c:pt idx="134">
                  <c:v>0.33265955967271543</c:v>
                </c:pt>
                <c:pt idx="135">
                  <c:v>1.4522968105886493</c:v>
                </c:pt>
                <c:pt idx="136">
                  <c:v>0.65332061875684122</c:v>
                </c:pt>
                <c:pt idx="137">
                  <c:v>1.2345435471872461</c:v>
                </c:pt>
                <c:pt idx="138">
                  <c:v>0.48171789499664136</c:v>
                </c:pt>
                <c:pt idx="139">
                  <c:v>2.2961648409304272</c:v>
                </c:pt>
                <c:pt idx="140">
                  <c:v>0.8390584427225708</c:v>
                </c:pt>
                <c:pt idx="141">
                  <c:v>0.30786563570205533</c:v>
                </c:pt>
                <c:pt idx="142">
                  <c:v>0.39773374803050948</c:v>
                </c:pt>
                <c:pt idx="143">
                  <c:v>0.89069048913163607</c:v>
                </c:pt>
                <c:pt idx="144">
                  <c:v>0.76511501281285277</c:v>
                </c:pt>
                <c:pt idx="145">
                  <c:v>2.0379856222376072</c:v>
                </c:pt>
                <c:pt idx="146">
                  <c:v>0.18745356999259721</c:v>
                </c:pt>
                <c:pt idx="147">
                  <c:v>3.4197234585096998</c:v>
                </c:pt>
                <c:pt idx="148">
                  <c:v>2.4746752397149807</c:v>
                </c:pt>
                <c:pt idx="149">
                  <c:v>1.0295752056981418</c:v>
                </c:pt>
                <c:pt idx="150">
                  <c:v>1.4878201691539725</c:v>
                </c:pt>
                <c:pt idx="151">
                  <c:v>0.16108605534717996</c:v>
                </c:pt>
                <c:pt idx="152">
                  <c:v>0.52440894784729186</c:v>
                </c:pt>
                <c:pt idx="153">
                  <c:v>0.22752506308065329</c:v>
                </c:pt>
                <c:pt idx="154">
                  <c:v>0.81347086781261568</c:v>
                </c:pt>
                <c:pt idx="155">
                  <c:v>6.0294362068341718E-2</c:v>
                </c:pt>
                <c:pt idx="156">
                  <c:v>8.9601319104318775E-2</c:v>
                </c:pt>
                <c:pt idx="157">
                  <c:v>0.51385148228406696</c:v>
                </c:pt>
                <c:pt idx="158">
                  <c:v>1.2626355224387</c:v>
                </c:pt>
                <c:pt idx="159">
                  <c:v>0.9151267362887795</c:v>
                </c:pt>
                <c:pt idx="160">
                  <c:v>0.55411814949693328</c:v>
                </c:pt>
                <c:pt idx="161">
                  <c:v>3.0190210720677859</c:v>
                </c:pt>
                <c:pt idx="162">
                  <c:v>9.392433416179799E-2</c:v>
                </c:pt>
                <c:pt idx="163">
                  <c:v>5.1874958026793185E-2</c:v>
                </c:pt>
                <c:pt idx="164">
                  <c:v>9.2654547105591248E-2</c:v>
                </c:pt>
                <c:pt idx="165">
                  <c:v>0.20052951645181216</c:v>
                </c:pt>
                <c:pt idx="166">
                  <c:v>0.47569545572107241</c:v>
                </c:pt>
                <c:pt idx="167">
                  <c:v>0.74722185547624431</c:v>
                </c:pt>
                <c:pt idx="168">
                  <c:v>2.1357866672063648</c:v>
                </c:pt>
                <c:pt idx="169">
                  <c:v>0.13416235454680076</c:v>
                </c:pt>
                <c:pt idx="170">
                  <c:v>0.52344199625378851</c:v>
                </c:pt>
                <c:pt idx="171">
                  <c:v>0.42761250200484302</c:v>
                </c:pt>
                <c:pt idx="172">
                  <c:v>1.6237343452711797</c:v>
                </c:pt>
                <c:pt idx="173">
                  <c:v>1.8252280310305675</c:v>
                </c:pt>
                <c:pt idx="174">
                  <c:v>0.21709262836649268</c:v>
                </c:pt>
                <c:pt idx="175">
                  <c:v>1.5148609214391482</c:v>
                </c:pt>
                <c:pt idx="176">
                  <c:v>0.22762824535217718</c:v>
                </c:pt>
                <c:pt idx="177">
                  <c:v>0.56139483724905082</c:v>
                </c:pt>
                <c:pt idx="178">
                  <c:v>0.99353406051388105</c:v>
                </c:pt>
                <c:pt idx="179">
                  <c:v>1.0451530220180738</c:v>
                </c:pt>
                <c:pt idx="180">
                  <c:v>0.94087399236301106</c:v>
                </c:pt>
                <c:pt idx="181">
                  <c:v>1.5401230768770491</c:v>
                </c:pt>
                <c:pt idx="182">
                  <c:v>0.43803895225735318</c:v>
                </c:pt>
                <c:pt idx="183">
                  <c:v>0.64832377997138779</c:v>
                </c:pt>
                <c:pt idx="184">
                  <c:v>1.5079798975940573</c:v>
                </c:pt>
                <c:pt idx="185">
                  <c:v>1.6774665023090711</c:v>
                </c:pt>
                <c:pt idx="186">
                  <c:v>0.22768448639979968</c:v>
                </c:pt>
                <c:pt idx="187">
                  <c:v>0.17681099749225213</c:v>
                </c:pt>
                <c:pt idx="188">
                  <c:v>0.93522596262696533</c:v>
                </c:pt>
                <c:pt idx="189">
                  <c:v>0.3926217788639364</c:v>
                </c:pt>
                <c:pt idx="190">
                  <c:v>0.18284191293291308</c:v>
                </c:pt>
                <c:pt idx="191">
                  <c:v>0.47142259276653742</c:v>
                </c:pt>
                <c:pt idx="192">
                  <c:v>1.330425856739718</c:v>
                </c:pt>
                <c:pt idx="193">
                  <c:v>0.95912838161670233</c:v>
                </c:pt>
                <c:pt idx="194">
                  <c:v>0.85809809731102282</c:v>
                </c:pt>
                <c:pt idx="195">
                  <c:v>2.4582587654953878</c:v>
                </c:pt>
                <c:pt idx="196">
                  <c:v>0.25116288253052738</c:v>
                </c:pt>
                <c:pt idx="197">
                  <c:v>1.8351512750788597</c:v>
                </c:pt>
                <c:pt idx="198">
                  <c:v>1.3446443531398178</c:v>
                </c:pt>
                <c:pt idx="199">
                  <c:v>0.39361924628116685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E2-466E-B8FB-0BE449C26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27215"/>
        <c:axId val="1922675759"/>
      </c:scatterChart>
      <c:valAx>
        <c:axId val="28212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2675759"/>
        <c:crosses val="autoZero"/>
        <c:crossBetween val="midCat"/>
      </c:valAx>
      <c:valAx>
        <c:axId val="19226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212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P(1:30) - G(31-60)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Correlazione!$B$3:$B$32</c:f>
              <c:numCache>
                <c:formatCode>General</c:formatCode>
                <c:ptCount val="30"/>
                <c:pt idx="0">
                  <c:v>0.43711520171939677</c:v>
                </c:pt>
                <c:pt idx="1">
                  <c:v>2.0052778044218393</c:v>
                </c:pt>
                <c:pt idx="2">
                  <c:v>1.7520521740613202</c:v>
                </c:pt>
                <c:pt idx="3">
                  <c:v>2.8020642130684905</c:v>
                </c:pt>
                <c:pt idx="4">
                  <c:v>0.72035772379527307</c:v>
                </c:pt>
                <c:pt idx="5">
                  <c:v>0.23432620694155346</c:v>
                </c:pt>
                <c:pt idx="6">
                  <c:v>0.9165582850391244</c:v>
                </c:pt>
                <c:pt idx="7">
                  <c:v>1.175957705009933</c:v>
                </c:pt>
                <c:pt idx="8">
                  <c:v>1.5564070688384215</c:v>
                </c:pt>
                <c:pt idx="9">
                  <c:v>0.53346178741536621</c:v>
                </c:pt>
                <c:pt idx="10">
                  <c:v>0.61431282058827419</c:v>
                </c:pt>
                <c:pt idx="11">
                  <c:v>1.8580216334432982</c:v>
                </c:pt>
                <c:pt idx="12">
                  <c:v>9.6958388053781486E-2</c:v>
                </c:pt>
                <c:pt idx="13">
                  <c:v>0.65752450077313007</c:v>
                </c:pt>
                <c:pt idx="14">
                  <c:v>1.5520756349051883</c:v>
                </c:pt>
                <c:pt idx="15">
                  <c:v>1.3402555674646139E-2</c:v>
                </c:pt>
                <c:pt idx="16">
                  <c:v>3.5534321138923302</c:v>
                </c:pt>
                <c:pt idx="17">
                  <c:v>0.13006031963243403</c:v>
                </c:pt>
                <c:pt idx="18">
                  <c:v>0.47759252182808487</c:v>
                </c:pt>
                <c:pt idx="19">
                  <c:v>0.7297231761350601</c:v>
                </c:pt>
                <c:pt idx="20">
                  <c:v>3.6321735688303884</c:v>
                </c:pt>
                <c:pt idx="21">
                  <c:v>0.59201303374234882</c:v>
                </c:pt>
                <c:pt idx="22">
                  <c:v>1.5813912778050025</c:v>
                </c:pt>
                <c:pt idx="23">
                  <c:v>0.19894015037996277</c:v>
                </c:pt>
                <c:pt idx="24">
                  <c:v>1.3377016743093204</c:v>
                </c:pt>
                <c:pt idx="25">
                  <c:v>0.66270388392557045</c:v>
                </c:pt>
                <c:pt idx="26">
                  <c:v>1.2629767812131345</c:v>
                </c:pt>
                <c:pt idx="27">
                  <c:v>1.4552289926474684</c:v>
                </c:pt>
                <c:pt idx="28">
                  <c:v>0.32404540900233986</c:v>
                </c:pt>
                <c:pt idx="29">
                  <c:v>2.449819120016588</c:v>
                </c:pt>
              </c:numCache>
            </c:numRef>
          </c:xVal>
          <c:yVal>
            <c:numRef>
              <c:f>Correlazione!$D$33:$D$62</c:f>
              <c:numCache>
                <c:formatCode>General</c:formatCode>
                <c:ptCount val="30"/>
                <c:pt idx="0">
                  <c:v>0</c:v>
                </c:pt>
                <c:pt idx="1">
                  <c:v>2.352808</c:v>
                </c:pt>
                <c:pt idx="2">
                  <c:v>4.2743289999999998</c:v>
                </c:pt>
                <c:pt idx="3">
                  <c:v>5.6914579999999999</c:v>
                </c:pt>
                <c:pt idx="4">
                  <c:v>6.2586089999999999</c:v>
                </c:pt>
                <c:pt idx="5">
                  <c:v>7.3391159999999998</c:v>
                </c:pt>
                <c:pt idx="6">
                  <c:v>12.074991000000001</c:v>
                </c:pt>
                <c:pt idx="7">
                  <c:v>11.996608</c:v>
                </c:pt>
                <c:pt idx="8">
                  <c:v>11.346334000000001</c:v>
                </c:pt>
                <c:pt idx="9">
                  <c:v>11.979096</c:v>
                </c:pt>
                <c:pt idx="10">
                  <c:v>7.984534</c:v>
                </c:pt>
                <c:pt idx="11">
                  <c:v>6.7591270000000003</c:v>
                </c:pt>
                <c:pt idx="12">
                  <c:v>7.0837209999999997</c:v>
                </c:pt>
                <c:pt idx="13">
                  <c:v>8.3084019999999992</c:v>
                </c:pt>
                <c:pt idx="14">
                  <c:v>8.3196899999999996</c:v>
                </c:pt>
                <c:pt idx="15">
                  <c:v>8.7068650000000005</c:v>
                </c:pt>
                <c:pt idx="16">
                  <c:v>9.6929990000000004</c:v>
                </c:pt>
                <c:pt idx="17">
                  <c:v>7.9203570000000001</c:v>
                </c:pt>
                <c:pt idx="18">
                  <c:v>9.2908550000000005</c:v>
                </c:pt>
                <c:pt idx="19">
                  <c:v>7.4890169999999996</c:v>
                </c:pt>
                <c:pt idx="20">
                  <c:v>9.8671570000000006</c:v>
                </c:pt>
                <c:pt idx="21">
                  <c:v>10.216414</c:v>
                </c:pt>
                <c:pt idx="22">
                  <c:v>8.5332240000000006</c:v>
                </c:pt>
                <c:pt idx="23">
                  <c:v>8.4940289999999994</c:v>
                </c:pt>
                <c:pt idx="24">
                  <c:v>9.5314899999999998</c:v>
                </c:pt>
                <c:pt idx="25">
                  <c:v>8.2987160000000006</c:v>
                </c:pt>
                <c:pt idx="26">
                  <c:v>9.0367320000000007</c:v>
                </c:pt>
                <c:pt idx="27">
                  <c:v>9.6714459999999995</c:v>
                </c:pt>
                <c:pt idx="28">
                  <c:v>6.7727570000000004</c:v>
                </c:pt>
                <c:pt idx="29">
                  <c:v>5.9446279999999998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5A-45DD-ACF0-A5D1C71BF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89487"/>
        <c:axId val="2136100815"/>
      </c:scatterChart>
      <c:valAx>
        <c:axId val="279589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6100815"/>
        <c:crosses val="autoZero"/>
        <c:crossBetween val="midCat"/>
      </c:valAx>
      <c:valAx>
        <c:axId val="213610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589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G-V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Correlazione!$D$3:$D$202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2.844112</c:v>
                </c:pt>
                <c:pt idx="6">
                  <c:v>2.7775509999999999</c:v>
                </c:pt>
                <c:pt idx="7">
                  <c:v>3.4932690000000002</c:v>
                </c:pt>
                <c:pt idx="8">
                  <c:v>2.3214670000000002</c:v>
                </c:pt>
                <c:pt idx="9">
                  <c:v>4.2118289999999998</c:v>
                </c:pt>
                <c:pt idx="10">
                  <c:v>3.7900489999999998</c:v>
                </c:pt>
                <c:pt idx="11">
                  <c:v>2.3538079999999999</c:v>
                </c:pt>
                <c:pt idx="12">
                  <c:v>5.1064150000000001</c:v>
                </c:pt>
                <c:pt idx="13">
                  <c:v>5.0592090000000001</c:v>
                </c:pt>
                <c:pt idx="14">
                  <c:v>4.8411619999999997</c:v>
                </c:pt>
                <c:pt idx="15">
                  <c:v>6.188218</c:v>
                </c:pt>
                <c:pt idx="16">
                  <c:v>3.2660130000000001</c:v>
                </c:pt>
                <c:pt idx="17">
                  <c:v>3.9174910000000001</c:v>
                </c:pt>
                <c:pt idx="18">
                  <c:v>3.9839560000000001</c:v>
                </c:pt>
                <c:pt idx="19">
                  <c:v>4.8397519999999998</c:v>
                </c:pt>
                <c:pt idx="20">
                  <c:v>2.2645499999999998</c:v>
                </c:pt>
                <c:pt idx="21">
                  <c:v>2.0589330000000001</c:v>
                </c:pt>
                <c:pt idx="22">
                  <c:v>0.73149799999999998</c:v>
                </c:pt>
                <c:pt idx="23">
                  <c:v>0.79409700000000005</c:v>
                </c:pt>
                <c:pt idx="24">
                  <c:v>0.48480499999999999</c:v>
                </c:pt>
                <c:pt idx="25">
                  <c:v>0.488066</c:v>
                </c:pt>
                <c:pt idx="26">
                  <c:v>9.4834000000000002E-2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2.352808</c:v>
                </c:pt>
                <c:pt idx="32">
                  <c:v>4.2743289999999998</c:v>
                </c:pt>
                <c:pt idx="33">
                  <c:v>5.6914579999999999</c:v>
                </c:pt>
                <c:pt idx="34">
                  <c:v>6.2586089999999999</c:v>
                </c:pt>
                <c:pt idx="35">
                  <c:v>7.3391159999999998</c:v>
                </c:pt>
                <c:pt idx="36">
                  <c:v>12.074991000000001</c:v>
                </c:pt>
                <c:pt idx="37">
                  <c:v>11.996608</c:v>
                </c:pt>
                <c:pt idx="38">
                  <c:v>11.346334000000001</c:v>
                </c:pt>
                <c:pt idx="39">
                  <c:v>11.979096</c:v>
                </c:pt>
                <c:pt idx="40">
                  <c:v>7.984534</c:v>
                </c:pt>
                <c:pt idx="41">
                  <c:v>6.7591270000000003</c:v>
                </c:pt>
                <c:pt idx="42">
                  <c:v>7.0837209999999997</c:v>
                </c:pt>
                <c:pt idx="43">
                  <c:v>8.3084019999999992</c:v>
                </c:pt>
                <c:pt idx="44">
                  <c:v>8.3196899999999996</c:v>
                </c:pt>
                <c:pt idx="45">
                  <c:v>8.7068650000000005</c:v>
                </c:pt>
                <c:pt idx="46">
                  <c:v>9.6929990000000004</c:v>
                </c:pt>
                <c:pt idx="47">
                  <c:v>7.9203570000000001</c:v>
                </c:pt>
                <c:pt idx="48">
                  <c:v>9.2908550000000005</c:v>
                </c:pt>
                <c:pt idx="49">
                  <c:v>7.4890169999999996</c:v>
                </c:pt>
                <c:pt idx="50">
                  <c:v>9.8671570000000006</c:v>
                </c:pt>
                <c:pt idx="51">
                  <c:v>10.216414</c:v>
                </c:pt>
                <c:pt idx="52">
                  <c:v>8.5332240000000006</c:v>
                </c:pt>
                <c:pt idx="53">
                  <c:v>8.4940289999999994</c:v>
                </c:pt>
                <c:pt idx="54">
                  <c:v>9.5314899999999998</c:v>
                </c:pt>
                <c:pt idx="55">
                  <c:v>8.2987160000000006</c:v>
                </c:pt>
                <c:pt idx="56">
                  <c:v>9.0367320000000007</c:v>
                </c:pt>
                <c:pt idx="57">
                  <c:v>9.6714459999999995</c:v>
                </c:pt>
                <c:pt idx="58">
                  <c:v>6.7727570000000004</c:v>
                </c:pt>
                <c:pt idx="59">
                  <c:v>5.9446279999999998</c:v>
                </c:pt>
                <c:pt idx="60">
                  <c:v>5.3073759999999996</c:v>
                </c:pt>
                <c:pt idx="61">
                  <c:v>5.4128170000000004</c:v>
                </c:pt>
                <c:pt idx="62">
                  <c:v>5.4855539999999996</c:v>
                </c:pt>
                <c:pt idx="63">
                  <c:v>5.0706600000000002</c:v>
                </c:pt>
                <c:pt idx="64">
                  <c:v>6.7958730000000003</c:v>
                </c:pt>
                <c:pt idx="65">
                  <c:v>7.0016090000000002</c:v>
                </c:pt>
                <c:pt idx="66">
                  <c:v>7.1533939999999996</c:v>
                </c:pt>
                <c:pt idx="67">
                  <c:v>7.926679</c:v>
                </c:pt>
                <c:pt idx="68">
                  <c:v>7.21488</c:v>
                </c:pt>
                <c:pt idx="69">
                  <c:v>6.2666339999999998</c:v>
                </c:pt>
                <c:pt idx="70">
                  <c:v>5.7448620000000004</c:v>
                </c:pt>
                <c:pt idx="71">
                  <c:v>3.9087999999999998</c:v>
                </c:pt>
                <c:pt idx="72">
                  <c:v>5.4198399999999998</c:v>
                </c:pt>
                <c:pt idx="73">
                  <c:v>6.0874879999999996</c:v>
                </c:pt>
                <c:pt idx="74">
                  <c:v>6.4942539999999997</c:v>
                </c:pt>
                <c:pt idx="75">
                  <c:v>2.236691</c:v>
                </c:pt>
                <c:pt idx="76">
                  <c:v>2.4882520000000001</c:v>
                </c:pt>
                <c:pt idx="77">
                  <c:v>2.856204</c:v>
                </c:pt>
                <c:pt idx="78">
                  <c:v>1.534367</c:v>
                </c:pt>
                <c:pt idx="79">
                  <c:v>1.4454070000000001</c:v>
                </c:pt>
                <c:pt idx="80">
                  <c:v>2.2891710000000001</c:v>
                </c:pt>
                <c:pt idx="81">
                  <c:v>1.24004</c:v>
                </c:pt>
                <c:pt idx="82">
                  <c:v>1.191649</c:v>
                </c:pt>
                <c:pt idx="83">
                  <c:v>1.9640839999999999</c:v>
                </c:pt>
                <c:pt idx="84">
                  <c:v>1.918258</c:v>
                </c:pt>
                <c:pt idx="85">
                  <c:v>9.7654000000000005E-2</c:v>
                </c:pt>
                <c:pt idx="86">
                  <c:v>0.75314999999999999</c:v>
                </c:pt>
                <c:pt idx="87">
                  <c:v>0.76263000000000003</c:v>
                </c:pt>
                <c:pt idx="88">
                  <c:v>1.134201</c:v>
                </c:pt>
                <c:pt idx="89">
                  <c:v>1.71252</c:v>
                </c:pt>
                <c:pt idx="90">
                  <c:v>3.427559</c:v>
                </c:pt>
                <c:pt idx="91">
                  <c:v>4.8454249999999996</c:v>
                </c:pt>
                <c:pt idx="92">
                  <c:v>2.8294899999999998</c:v>
                </c:pt>
                <c:pt idx="93">
                  <c:v>4.4225810000000001</c:v>
                </c:pt>
                <c:pt idx="94">
                  <c:v>4.9827940000000002</c:v>
                </c:pt>
                <c:pt idx="95">
                  <c:v>6.2013860000000003</c:v>
                </c:pt>
                <c:pt idx="96">
                  <c:v>6.0442220000000004</c:v>
                </c:pt>
                <c:pt idx="97">
                  <c:v>7.7815950000000003</c:v>
                </c:pt>
                <c:pt idx="98">
                  <c:v>9.5127389999999998</c:v>
                </c:pt>
                <c:pt idx="99">
                  <c:v>9.7299670000000003</c:v>
                </c:pt>
                <c:pt idx="100">
                  <c:v>11.822781000000001</c:v>
                </c:pt>
                <c:pt idx="101">
                  <c:v>11.671872</c:v>
                </c:pt>
                <c:pt idx="102">
                  <c:v>8.5310930000000003</c:v>
                </c:pt>
                <c:pt idx="103">
                  <c:v>6.9022019999999999</c:v>
                </c:pt>
                <c:pt idx="104">
                  <c:v>6.7904410000000004</c:v>
                </c:pt>
                <c:pt idx="105">
                  <c:v>7.4565799999999998</c:v>
                </c:pt>
                <c:pt idx="106">
                  <c:v>7.4962099999999996</c:v>
                </c:pt>
                <c:pt idx="107">
                  <c:v>3.816287</c:v>
                </c:pt>
                <c:pt idx="108">
                  <c:v>3.5730390000000001</c:v>
                </c:pt>
                <c:pt idx="109">
                  <c:v>4.725295</c:v>
                </c:pt>
                <c:pt idx="110">
                  <c:v>7.9148589999999999</c:v>
                </c:pt>
                <c:pt idx="111">
                  <c:v>9.770035</c:v>
                </c:pt>
                <c:pt idx="112">
                  <c:v>11.571096000000001</c:v>
                </c:pt>
                <c:pt idx="113">
                  <c:v>12.403953</c:v>
                </c:pt>
                <c:pt idx="114">
                  <c:v>14.001611</c:v>
                </c:pt>
                <c:pt idx="115">
                  <c:v>14.588303</c:v>
                </c:pt>
                <c:pt idx="116">
                  <c:v>13.724971</c:v>
                </c:pt>
                <c:pt idx="117">
                  <c:v>11.938573999999999</c:v>
                </c:pt>
                <c:pt idx="118">
                  <c:v>13.809532000000001</c:v>
                </c:pt>
                <c:pt idx="119">
                  <c:v>13.279894000000001</c:v>
                </c:pt>
                <c:pt idx="120">
                  <c:v>14.151869</c:v>
                </c:pt>
                <c:pt idx="121">
                  <c:v>13.539453999999999</c:v>
                </c:pt>
                <c:pt idx="122">
                  <c:v>13.230905</c:v>
                </c:pt>
                <c:pt idx="123">
                  <c:v>13.695479000000001</c:v>
                </c:pt>
                <c:pt idx="124">
                  <c:v>14.668282</c:v>
                </c:pt>
                <c:pt idx="125">
                  <c:v>16.086144000000001</c:v>
                </c:pt>
                <c:pt idx="126">
                  <c:v>15.443168</c:v>
                </c:pt>
                <c:pt idx="127">
                  <c:v>13.635539</c:v>
                </c:pt>
                <c:pt idx="128">
                  <c:v>13.401339999999999</c:v>
                </c:pt>
                <c:pt idx="129">
                  <c:v>12.881817</c:v>
                </c:pt>
                <c:pt idx="130">
                  <c:v>9.9948490000000003</c:v>
                </c:pt>
                <c:pt idx="131">
                  <c:v>10.006422000000001</c:v>
                </c:pt>
                <c:pt idx="132">
                  <c:v>10.229571</c:v>
                </c:pt>
                <c:pt idx="133">
                  <c:v>9.6595549999999992</c:v>
                </c:pt>
                <c:pt idx="134">
                  <c:v>9.7168170000000007</c:v>
                </c:pt>
                <c:pt idx="135">
                  <c:v>9.6495270000000009</c:v>
                </c:pt>
                <c:pt idx="136">
                  <c:v>10.161173</c:v>
                </c:pt>
                <c:pt idx="137">
                  <c:v>9.6882169999999999</c:v>
                </c:pt>
                <c:pt idx="138">
                  <c:v>10.833728000000001</c:v>
                </c:pt>
                <c:pt idx="139">
                  <c:v>11.113061999999999</c:v>
                </c:pt>
                <c:pt idx="140">
                  <c:v>13.000431000000001</c:v>
                </c:pt>
                <c:pt idx="141">
                  <c:v>11.445969</c:v>
                </c:pt>
                <c:pt idx="142">
                  <c:v>11.464145</c:v>
                </c:pt>
                <c:pt idx="143">
                  <c:v>11.390025</c:v>
                </c:pt>
                <c:pt idx="144">
                  <c:v>12.221939000000001</c:v>
                </c:pt>
                <c:pt idx="145">
                  <c:v>11.824786</c:v>
                </c:pt>
                <c:pt idx="146">
                  <c:v>12.00694</c:v>
                </c:pt>
                <c:pt idx="147">
                  <c:v>11.067646999999999</c:v>
                </c:pt>
                <c:pt idx="148">
                  <c:v>10.661144999999999</c:v>
                </c:pt>
                <c:pt idx="149">
                  <c:v>12.994483000000001</c:v>
                </c:pt>
                <c:pt idx="150">
                  <c:v>13.649361000000001</c:v>
                </c:pt>
                <c:pt idx="151">
                  <c:v>14.817421</c:v>
                </c:pt>
                <c:pt idx="152">
                  <c:v>13.391347</c:v>
                </c:pt>
                <c:pt idx="153">
                  <c:v>13.504552</c:v>
                </c:pt>
                <c:pt idx="154">
                  <c:v>13.092393</c:v>
                </c:pt>
                <c:pt idx="155">
                  <c:v>12.894598</c:v>
                </c:pt>
                <c:pt idx="156">
                  <c:v>12.603664</c:v>
                </c:pt>
                <c:pt idx="157">
                  <c:v>12.070136</c:v>
                </c:pt>
                <c:pt idx="158">
                  <c:v>10.288862</c:v>
                </c:pt>
                <c:pt idx="159">
                  <c:v>10.746594</c:v>
                </c:pt>
                <c:pt idx="160">
                  <c:v>6.7450380000000001</c:v>
                </c:pt>
                <c:pt idx="161">
                  <c:v>6.8367360000000001</c:v>
                </c:pt>
                <c:pt idx="162">
                  <c:v>8.9263639999999995</c:v>
                </c:pt>
                <c:pt idx="163">
                  <c:v>8.9754149999999999</c:v>
                </c:pt>
                <c:pt idx="164">
                  <c:v>7.9683330000000003</c:v>
                </c:pt>
                <c:pt idx="165">
                  <c:v>6.3123370000000003</c:v>
                </c:pt>
                <c:pt idx="166">
                  <c:v>5.9610830000000004</c:v>
                </c:pt>
                <c:pt idx="167">
                  <c:v>4.8381660000000002</c:v>
                </c:pt>
                <c:pt idx="168">
                  <c:v>5.4793269999999996</c:v>
                </c:pt>
                <c:pt idx="169">
                  <c:v>7.3440130000000003</c:v>
                </c:pt>
                <c:pt idx="170">
                  <c:v>7.2148839999999996</c:v>
                </c:pt>
                <c:pt idx="171">
                  <c:v>5.4565270000000003</c:v>
                </c:pt>
                <c:pt idx="172">
                  <c:v>3.6535009999999999</c:v>
                </c:pt>
                <c:pt idx="173">
                  <c:v>3.0456970000000001</c:v>
                </c:pt>
                <c:pt idx="174">
                  <c:v>3.9662320000000002</c:v>
                </c:pt>
                <c:pt idx="175">
                  <c:v>3.7580110000000002</c:v>
                </c:pt>
                <c:pt idx="176">
                  <c:v>4.5069249999999998</c:v>
                </c:pt>
                <c:pt idx="177">
                  <c:v>2.1241949999999998</c:v>
                </c:pt>
                <c:pt idx="178">
                  <c:v>1.9323319999999999</c:v>
                </c:pt>
                <c:pt idx="179">
                  <c:v>0.75351900000000005</c:v>
                </c:pt>
                <c:pt idx="180">
                  <c:v>0.84218199999999999</c:v>
                </c:pt>
                <c:pt idx="181">
                  <c:v>1.725816</c:v>
                </c:pt>
                <c:pt idx="182">
                  <c:v>1.0813010000000001</c:v>
                </c:pt>
                <c:pt idx="183">
                  <c:v>7.6410000000000006E-2</c:v>
                </c:pt>
                <c:pt idx="184">
                  <c:v>0</c:v>
                </c:pt>
                <c:pt idx="185">
                  <c:v>0.62909999999999999</c:v>
                </c:pt>
                <c:pt idx="186">
                  <c:v>1.844204</c:v>
                </c:pt>
                <c:pt idx="187">
                  <c:v>1.497695</c:v>
                </c:pt>
                <c:pt idx="188">
                  <c:v>1.6743110000000001</c:v>
                </c:pt>
                <c:pt idx="189">
                  <c:v>2.1693009999999999</c:v>
                </c:pt>
                <c:pt idx="190">
                  <c:v>2.2631619999999999</c:v>
                </c:pt>
                <c:pt idx="191">
                  <c:v>1.8615660000000001</c:v>
                </c:pt>
                <c:pt idx="192">
                  <c:v>2.3279049999999999</c:v>
                </c:pt>
                <c:pt idx="193">
                  <c:v>3.25047</c:v>
                </c:pt>
                <c:pt idx="194">
                  <c:v>3.9239039999999998</c:v>
                </c:pt>
                <c:pt idx="195">
                  <c:v>4.0480219999999996</c:v>
                </c:pt>
                <c:pt idx="196">
                  <c:v>5.6125309999999997</c:v>
                </c:pt>
                <c:pt idx="197">
                  <c:v>3.3765040000000002</c:v>
                </c:pt>
                <c:pt idx="198">
                  <c:v>2.6201680000000001</c:v>
                </c:pt>
                <c:pt idx="199">
                  <c:v>0</c:v>
                </c:pt>
              </c:numCache>
            </c:numRef>
          </c:xVal>
          <c:yVal>
            <c:numRef>
              <c:f>Correlazione!$E$3:$E$202</c:f>
              <c:numCache>
                <c:formatCode>General</c:formatCode>
                <c:ptCount val="200"/>
                <c:pt idx="0">
                  <c:v>0.16302683013520436</c:v>
                </c:pt>
                <c:pt idx="1">
                  <c:v>0.12492522153141605</c:v>
                </c:pt>
                <c:pt idx="2">
                  <c:v>1.0998941232660382</c:v>
                </c:pt>
                <c:pt idx="3">
                  <c:v>0.22292617776071655</c:v>
                </c:pt>
                <c:pt idx="4">
                  <c:v>3.078438225347579</c:v>
                </c:pt>
                <c:pt idx="5">
                  <c:v>3.6941095760077332</c:v>
                </c:pt>
                <c:pt idx="6">
                  <c:v>4.6692263603662933</c:v>
                </c:pt>
                <c:pt idx="7">
                  <c:v>3.8778745597080526</c:v>
                </c:pt>
                <c:pt idx="8">
                  <c:v>4.7452907440959162</c:v>
                </c:pt>
                <c:pt idx="9">
                  <c:v>4.4043622147494208</c:v>
                </c:pt>
                <c:pt idx="10">
                  <c:v>4.2118301212878695</c:v>
                </c:pt>
                <c:pt idx="11">
                  <c:v>5.2033735369825216</c:v>
                </c:pt>
                <c:pt idx="12">
                  <c:v>5.7167339615153168</c:v>
                </c:pt>
                <c:pt idx="13">
                  <c:v>6.3932375616855897</c:v>
                </c:pt>
                <c:pt idx="14">
                  <c:v>6.2016207181965477</c:v>
                </c:pt>
                <c:pt idx="15">
                  <c:v>6.8194455173150281</c:v>
                </c:pt>
                <c:pt idx="16">
                  <c:v>4.047551588463822</c:v>
                </c:pt>
                <c:pt idx="17">
                  <c:v>4.461548953947247</c:v>
                </c:pt>
                <c:pt idx="18">
                  <c:v>5.5694747188511471</c:v>
                </c:pt>
                <c:pt idx="19">
                  <c:v>5.8967238586785662</c:v>
                </c:pt>
                <c:pt idx="20">
                  <c:v>2.6509465123359988</c:v>
                </c:pt>
                <c:pt idx="21">
                  <c:v>2.3128888432715939</c:v>
                </c:pt>
                <c:pt idx="22">
                  <c:v>0.99303666322397177</c:v>
                </c:pt>
                <c:pt idx="23">
                  <c:v>1.8225063007713658</c:v>
                </c:pt>
                <c:pt idx="24">
                  <c:v>1.1507699849162343</c:v>
                </c:pt>
                <c:pt idx="25">
                  <c:v>1.3578108471875332</c:v>
                </c:pt>
                <c:pt idx="26">
                  <c:v>0.90896829558382919</c:v>
                </c:pt>
                <c:pt idx="27">
                  <c:v>0.1116325069741535</c:v>
                </c:pt>
                <c:pt idx="28">
                  <c:v>0.32761426824205842</c:v>
                </c:pt>
                <c:pt idx="29">
                  <c:v>0.34670793164829661</c:v>
                </c:pt>
                <c:pt idx="30">
                  <c:v>2.3754649172683528</c:v>
                </c:pt>
                <c:pt idx="31">
                  <c:v>4.541592095884539</c:v>
                </c:pt>
                <c:pt idx="32">
                  <c:v>5.8831755677786646</c:v>
                </c:pt>
                <c:pt idx="33">
                  <c:v>7.6788741912904754</c:v>
                </c:pt>
                <c:pt idx="34">
                  <c:v>8.116138394093241</c:v>
                </c:pt>
                <c:pt idx="35">
                  <c:v>12.149344747098056</c:v>
                </c:pt>
                <c:pt idx="36">
                  <c:v>12.221619424995133</c:v>
                </c:pt>
                <c:pt idx="37">
                  <c:v>12.562127417789142</c:v>
                </c:pt>
                <c:pt idx="38">
                  <c:v>13.007069434445505</c:v>
                </c:pt>
                <c:pt idx="39">
                  <c:v>12.165053267587716</c:v>
                </c:pt>
                <c:pt idx="40">
                  <c:v>8.5954089731147434</c:v>
                </c:pt>
                <c:pt idx="41">
                  <c:v>7.1662179399472095</c:v>
                </c:pt>
                <c:pt idx="42">
                  <c:v>8.8311205344963142</c:v>
                </c:pt>
                <c:pt idx="43">
                  <c:v>8.3858089158305376</c:v>
                </c:pt>
                <c:pt idx="44">
                  <c:v>8.8271035258544046</c:v>
                </c:pt>
                <c:pt idx="45">
                  <c:v>10.082768842702237</c:v>
                </c:pt>
                <c:pt idx="46">
                  <c:v>10.141089805890736</c:v>
                </c:pt>
                <c:pt idx="47">
                  <c:v>9.659663370570847</c:v>
                </c:pt>
                <c:pt idx="48">
                  <c:v>9.5702125592010177</c:v>
                </c:pt>
                <c:pt idx="49">
                  <c:v>10.078960443850569</c:v>
                </c:pt>
                <c:pt idx="50">
                  <c:v>10.269186777998719</c:v>
                </c:pt>
                <c:pt idx="51">
                  <c:v>11.060667363171099</c:v>
                </c:pt>
                <c:pt idx="52">
                  <c:v>9.154072503005743</c:v>
                </c:pt>
                <c:pt idx="53">
                  <c:v>9.8103756241499482</c:v>
                </c:pt>
                <c:pt idx="54">
                  <c:v>10.209364884316074</c:v>
                </c:pt>
                <c:pt idx="55">
                  <c:v>9.5021569260543046</c:v>
                </c:pt>
                <c:pt idx="56">
                  <c:v>10.504890540627855</c:v>
                </c:pt>
                <c:pt idx="57">
                  <c:v>10.607449747898258</c:v>
                </c:pt>
                <c:pt idx="58">
                  <c:v>7.2278606554858413</c:v>
                </c:pt>
                <c:pt idx="59">
                  <c:v>6.0891089421254065</c:v>
                </c:pt>
                <c:pt idx="60">
                  <c:v>6.1134218011432466</c:v>
                </c:pt>
                <c:pt idx="61">
                  <c:v>6.1911568305109341</c:v>
                </c:pt>
                <c:pt idx="62">
                  <c:v>5.7821520577818006</c:v>
                </c:pt>
                <c:pt idx="63">
                  <c:v>7.0519417487125082</c:v>
                </c:pt>
                <c:pt idx="64">
                  <c:v>7.0297615878061208</c:v>
                </c:pt>
                <c:pt idx="65">
                  <c:v>7.2718139322329165</c:v>
                </c:pt>
                <c:pt idx="66">
                  <c:v>8.2749861510337297</c:v>
                </c:pt>
                <c:pt idx="67">
                  <c:v>8.1289887663474616</c:v>
                </c:pt>
                <c:pt idx="68">
                  <c:v>7.4315481491989033</c:v>
                </c:pt>
                <c:pt idx="69">
                  <c:v>7.0054262576983319</c:v>
                </c:pt>
                <c:pt idx="70">
                  <c:v>6.3165885292645925</c:v>
                </c:pt>
                <c:pt idx="71">
                  <c:v>6.2215151131216828</c:v>
                </c:pt>
                <c:pt idx="72">
                  <c:v>6.2979168120666174</c:v>
                </c:pt>
                <c:pt idx="73">
                  <c:v>7.5155833759888395</c:v>
                </c:pt>
                <c:pt idx="74">
                  <c:v>6.5869615342404302</c:v>
                </c:pt>
                <c:pt idx="75">
                  <c:v>3.7124487799706287</c:v>
                </c:pt>
                <c:pt idx="76">
                  <c:v>2.9892149945781483</c:v>
                </c:pt>
                <c:pt idx="77">
                  <c:v>3.2524309098551214</c:v>
                </c:pt>
                <c:pt idx="78">
                  <c:v>2.679725237918575</c:v>
                </c:pt>
                <c:pt idx="79">
                  <c:v>2.5628304082543565</c:v>
                </c:pt>
                <c:pt idx="80">
                  <c:v>2.3478188109106242</c:v>
                </c:pt>
                <c:pt idx="81">
                  <c:v>1.5625645820201441</c:v>
                </c:pt>
                <c:pt idx="82">
                  <c:v>3.2455324459891557</c:v>
                </c:pt>
                <c:pt idx="83">
                  <c:v>2.1371847406796718</c:v>
                </c:pt>
                <c:pt idx="84">
                  <c:v>2.6257647905066932</c:v>
                </c:pt>
                <c:pt idx="85">
                  <c:v>0.99410375321167521</c:v>
                </c:pt>
                <c:pt idx="86">
                  <c:v>1.6380602904291948</c:v>
                </c:pt>
                <c:pt idx="87">
                  <c:v>1.8643982300157376</c:v>
                </c:pt>
                <c:pt idx="88">
                  <c:v>1.7502850617375572</c:v>
                </c:pt>
                <c:pt idx="89">
                  <c:v>3.5231475619780497</c:v>
                </c:pt>
                <c:pt idx="90">
                  <c:v>5.109178004596501</c:v>
                </c:pt>
                <c:pt idx="91">
                  <c:v>5.1044869648196851</c:v>
                </c:pt>
                <c:pt idx="92">
                  <c:v>5.0666413154428227</c:v>
                </c:pt>
                <c:pt idx="93">
                  <c:v>5.4186800946666551</c:v>
                </c:pt>
                <c:pt idx="94">
                  <c:v>6.2883785183295799</c:v>
                </c:pt>
                <c:pt idx="95">
                  <c:v>6.3972308123943122</c:v>
                </c:pt>
                <c:pt idx="96">
                  <c:v>7.8837891440401222</c:v>
                </c:pt>
                <c:pt idx="97">
                  <c:v>9.7659445512970393</c:v>
                </c:pt>
                <c:pt idx="98">
                  <c:v>10.328787958064865</c:v>
                </c:pt>
                <c:pt idx="99">
                  <c:v>11.928344456125487</c:v>
                </c:pt>
                <c:pt idx="100">
                  <c:v>12.189357172722353</c:v>
                </c:pt>
                <c:pt idx="101">
                  <c:v>12.447750785635293</c:v>
                </c:pt>
                <c:pt idx="102">
                  <c:v>8.9610234541020901</c:v>
                </c:pt>
                <c:pt idx="103">
                  <c:v>7.6418993778684552</c:v>
                </c:pt>
                <c:pt idx="104">
                  <c:v>7.733884109200531</c:v>
                </c:pt>
                <c:pt idx="105">
                  <c:v>7.7368477990808913</c:v>
                </c:pt>
                <c:pt idx="106">
                  <c:v>7.6332040806977091</c:v>
                </c:pt>
                <c:pt idx="107">
                  <c:v>4.0897093241681404</c:v>
                </c:pt>
                <c:pt idx="108">
                  <c:v>5.6275473444323296</c:v>
                </c:pt>
                <c:pt idx="109">
                  <c:v>9.2912129404033266</c:v>
                </c:pt>
                <c:pt idx="110">
                  <c:v>9.9704091781110122</c:v>
                </c:pt>
                <c:pt idx="111">
                  <c:v>11.650837709568606</c:v>
                </c:pt>
                <c:pt idx="112">
                  <c:v>13.117650068324735</c:v>
                </c:pt>
                <c:pt idx="113">
                  <c:v>14.08935524366504</c:v>
                </c:pt>
                <c:pt idx="114">
                  <c:v>14.765011311949593</c:v>
                </c:pt>
                <c:pt idx="115">
                  <c:v>14.851052591466342</c:v>
                </c:pt>
                <c:pt idx="116">
                  <c:v>14.200915769142895</c:v>
                </c:pt>
                <c:pt idx="117">
                  <c:v>13.897885234679904</c:v>
                </c:pt>
                <c:pt idx="118">
                  <c:v>13.897753506205447</c:v>
                </c:pt>
                <c:pt idx="119">
                  <c:v>14.324999503791489</c:v>
                </c:pt>
                <c:pt idx="120">
                  <c:v>14.997297560302769</c:v>
                </c:pt>
                <c:pt idx="121">
                  <c:v>14.358293912469918</c:v>
                </c:pt>
                <c:pt idx="122">
                  <c:v>14.455957457161077</c:v>
                </c:pt>
                <c:pt idx="123">
                  <c:v>16.882076127863144</c:v>
                </c:pt>
                <c:pt idx="124">
                  <c:v>16.346974006586777</c:v>
                </c:pt>
                <c:pt idx="125">
                  <c:v>16.479132338001051</c:v>
                </c:pt>
                <c:pt idx="126">
                  <c:v>16.221419409217845</c:v>
                </c:pt>
                <c:pt idx="127">
                  <c:v>14.129679828506809</c:v>
                </c:pt>
                <c:pt idx="128">
                  <c:v>13.824714353250329</c:v>
                </c:pt>
                <c:pt idx="129">
                  <c:v>13.234793539680709</c:v>
                </c:pt>
                <c:pt idx="130">
                  <c:v>10.506983326447653</c:v>
                </c:pt>
                <c:pt idx="131">
                  <c:v>11.540700556459996</c:v>
                </c:pt>
                <c:pt idx="132">
                  <c:v>10.949711464307342</c:v>
                </c:pt>
                <c:pt idx="133">
                  <c:v>10.006802531045793</c:v>
                </c:pt>
                <c:pt idx="134">
                  <c:v>10.049476781485453</c:v>
                </c:pt>
                <c:pt idx="135">
                  <c:v>11.101823334128966</c:v>
                </c:pt>
                <c:pt idx="136">
                  <c:v>10.814493823038447</c:v>
                </c:pt>
                <c:pt idx="137">
                  <c:v>10.922760742208624</c:v>
                </c:pt>
                <c:pt idx="138">
                  <c:v>11.315446150066265</c:v>
                </c:pt>
                <c:pt idx="139">
                  <c:v>13.409226959024693</c:v>
                </c:pt>
                <c:pt idx="140">
                  <c:v>13.839489061692404</c:v>
                </c:pt>
                <c:pt idx="141">
                  <c:v>11.753834547187324</c:v>
                </c:pt>
                <c:pt idx="142">
                  <c:v>11.861878574748886</c:v>
                </c:pt>
                <c:pt idx="143">
                  <c:v>12.280715092910441</c:v>
                </c:pt>
                <c:pt idx="144">
                  <c:v>12.987053799175328</c:v>
                </c:pt>
                <c:pt idx="145">
                  <c:v>13.862771456492993</c:v>
                </c:pt>
                <c:pt idx="146">
                  <c:v>12.194393958464559</c:v>
                </c:pt>
                <c:pt idx="147">
                  <c:v>14.487370440675392</c:v>
                </c:pt>
                <c:pt idx="148">
                  <c:v>13.135820274212193</c:v>
                </c:pt>
                <c:pt idx="149">
                  <c:v>14.024058606570605</c:v>
                </c:pt>
                <c:pt idx="150">
                  <c:v>15.13718072665003</c:v>
                </c:pt>
                <c:pt idx="151">
                  <c:v>14.978506681688685</c:v>
                </c:pt>
                <c:pt idx="152">
                  <c:v>13.915755728381441</c:v>
                </c:pt>
                <c:pt idx="153">
                  <c:v>13.732077081589722</c:v>
                </c:pt>
                <c:pt idx="154">
                  <c:v>13.905863492091896</c:v>
                </c:pt>
                <c:pt idx="155">
                  <c:v>12.954892447756464</c:v>
                </c:pt>
                <c:pt idx="156">
                  <c:v>12.693265527027847</c:v>
                </c:pt>
                <c:pt idx="157">
                  <c:v>12.583987848116095</c:v>
                </c:pt>
                <c:pt idx="158">
                  <c:v>11.55149702528675</c:v>
                </c:pt>
                <c:pt idx="159">
                  <c:v>11.661720993110038</c:v>
                </c:pt>
                <c:pt idx="160">
                  <c:v>7.2991558653806692</c:v>
                </c:pt>
                <c:pt idx="161">
                  <c:v>9.8557567447116696</c:v>
                </c:pt>
                <c:pt idx="162">
                  <c:v>9.0202879006301373</c:v>
                </c:pt>
                <c:pt idx="163">
                  <c:v>9.0272895406224336</c:v>
                </c:pt>
                <c:pt idx="164">
                  <c:v>8.0609880464190837</c:v>
                </c:pt>
                <c:pt idx="165">
                  <c:v>6.5128663760951326</c:v>
                </c:pt>
                <c:pt idx="166">
                  <c:v>6.4367782621786773</c:v>
                </c:pt>
                <c:pt idx="167">
                  <c:v>5.5853875422224633</c:v>
                </c:pt>
                <c:pt idx="168">
                  <c:v>7.6151140108362654</c:v>
                </c:pt>
                <c:pt idx="169">
                  <c:v>7.4781758457976366</c:v>
                </c:pt>
                <c:pt idx="170">
                  <c:v>7.7383260733215593</c:v>
                </c:pt>
                <c:pt idx="171">
                  <c:v>5.8841390655275063</c:v>
                </c:pt>
                <c:pt idx="172">
                  <c:v>5.2772348474319131</c:v>
                </c:pt>
                <c:pt idx="173">
                  <c:v>4.8709247928391051</c:v>
                </c:pt>
                <c:pt idx="174">
                  <c:v>4.1833243023513091</c:v>
                </c:pt>
                <c:pt idx="175">
                  <c:v>5.2728721740303683</c:v>
                </c:pt>
                <c:pt idx="176">
                  <c:v>4.7345534346260081</c:v>
                </c:pt>
                <c:pt idx="177">
                  <c:v>2.685589634533045</c:v>
                </c:pt>
                <c:pt idx="178">
                  <c:v>2.9258660649240085</c:v>
                </c:pt>
                <c:pt idx="179">
                  <c:v>1.7986721223874724</c:v>
                </c:pt>
                <c:pt idx="180">
                  <c:v>1.7830564338685235</c:v>
                </c:pt>
                <c:pt idx="181">
                  <c:v>3.2659393279552091</c:v>
                </c:pt>
                <c:pt idx="182">
                  <c:v>1.519339988664683</c:v>
                </c:pt>
                <c:pt idx="183">
                  <c:v>0.72473338663630216</c:v>
                </c:pt>
                <c:pt idx="184">
                  <c:v>1.5079798975940548</c:v>
                </c:pt>
                <c:pt idx="185">
                  <c:v>2.3065668010373486</c:v>
                </c:pt>
                <c:pt idx="186">
                  <c:v>2.0718886259288922</c:v>
                </c:pt>
                <c:pt idx="187">
                  <c:v>1.6745057348772718</c:v>
                </c:pt>
                <c:pt idx="188">
                  <c:v>2.6095365820390271</c:v>
                </c:pt>
                <c:pt idx="189">
                  <c:v>2.5619227480418658</c:v>
                </c:pt>
                <c:pt idx="190">
                  <c:v>2.44600371323952</c:v>
                </c:pt>
                <c:pt idx="191">
                  <c:v>2.3329888365045122</c:v>
                </c:pt>
                <c:pt idx="192">
                  <c:v>3.6583304461359774</c:v>
                </c:pt>
                <c:pt idx="193">
                  <c:v>4.2095980127108419</c:v>
                </c:pt>
                <c:pt idx="194">
                  <c:v>4.7820020479485947</c:v>
                </c:pt>
                <c:pt idx="195">
                  <c:v>6.5062807511891094</c:v>
                </c:pt>
                <c:pt idx="196">
                  <c:v>5.8636936782369844</c:v>
                </c:pt>
                <c:pt idx="197">
                  <c:v>5.2116547886819831</c:v>
                </c:pt>
                <c:pt idx="198">
                  <c:v>3.9648120315065682</c:v>
                </c:pt>
                <c:pt idx="199">
                  <c:v>0.39361924628116185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9D-4443-B267-8CE177698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885487"/>
        <c:axId val="2136083759"/>
      </c:scatterChart>
      <c:valAx>
        <c:axId val="375885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6083759"/>
        <c:crosses val="autoZero"/>
        <c:crossBetween val="midCat"/>
      </c:valAx>
      <c:valAx>
        <c:axId val="213608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5885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P(61:90) - G(91-120)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Correlazione!$B$63:$B$92</c:f>
              <c:numCache>
                <c:formatCode>General</c:formatCode>
                <c:ptCount val="30"/>
                <c:pt idx="0">
                  <c:v>0.7817325218776574</c:v>
                </c:pt>
                <c:pt idx="1">
                  <c:v>0.70060514959203246</c:v>
                </c:pt>
                <c:pt idx="2">
                  <c:v>0.70560327147532431</c:v>
                </c:pt>
                <c:pt idx="3">
                  <c:v>0.71149232148600272</c:v>
                </c:pt>
                <c:pt idx="4">
                  <c:v>0.25606913695408884</c:v>
                </c:pt>
                <c:pt idx="5">
                  <c:v>2.8152244118326081E-2</c:v>
                </c:pt>
                <c:pt idx="6">
                  <c:v>0.11842034972443499</c:v>
                </c:pt>
                <c:pt idx="7">
                  <c:v>0.34830696026262231</c:v>
                </c:pt>
                <c:pt idx="8">
                  <c:v>0.91410828850898462</c:v>
                </c:pt>
                <c:pt idx="9">
                  <c:v>1.1649143220038309</c:v>
                </c:pt>
                <c:pt idx="10">
                  <c:v>1.2605645910279308</c:v>
                </c:pt>
                <c:pt idx="11">
                  <c:v>2.4077881567325243</c:v>
                </c:pt>
                <c:pt idx="12">
                  <c:v>0.80167553379484824</c:v>
                </c:pt>
                <c:pt idx="13">
                  <c:v>0.2104292594348435</c:v>
                </c:pt>
                <c:pt idx="14">
                  <c:v>1.0213291025228057</c:v>
                </c:pt>
                <c:pt idx="15">
                  <c:v>4.3502706881590836</c:v>
                </c:pt>
                <c:pt idx="16">
                  <c:v>1.2241964637705145</c:v>
                </c:pt>
                <c:pt idx="17">
                  <c:v>0.1330113530688751</c:v>
                </c:pt>
                <c:pt idx="18">
                  <c:v>1.7180638940260422</c:v>
                </c:pt>
                <c:pt idx="19">
                  <c:v>1.2343182826405044</c:v>
                </c:pt>
                <c:pt idx="20">
                  <c:v>0.27365943949820287</c:v>
                </c:pt>
                <c:pt idx="21">
                  <c:v>1.1077789376329787</c:v>
                </c:pt>
                <c:pt idx="22">
                  <c:v>0.37091526440150657</c:v>
                </c:pt>
                <c:pt idx="23">
                  <c:v>1.2814485888755647</c:v>
                </c:pt>
                <c:pt idx="24">
                  <c:v>0.21892699162343734</c:v>
                </c:pt>
                <c:pt idx="25">
                  <c:v>2.5281112307587335</c:v>
                </c:pt>
                <c:pt idx="26">
                  <c:v>0.24095409099424142</c:v>
                </c:pt>
                <c:pt idx="27">
                  <c:v>0.87543074012267041</c:v>
                </c:pt>
                <c:pt idx="28">
                  <c:v>0.73019766653051776</c:v>
                </c:pt>
                <c:pt idx="29">
                  <c:v>3.7764641805111791E-2</c:v>
                </c:pt>
              </c:numCache>
            </c:numRef>
          </c:xVal>
          <c:yVal>
            <c:numRef>
              <c:f>Correlazione!$D$93:$D$122</c:f>
              <c:numCache>
                <c:formatCode>General</c:formatCode>
                <c:ptCount val="30"/>
                <c:pt idx="0">
                  <c:v>3.427559</c:v>
                </c:pt>
                <c:pt idx="1">
                  <c:v>4.8454249999999996</c:v>
                </c:pt>
                <c:pt idx="2">
                  <c:v>2.8294899999999998</c:v>
                </c:pt>
                <c:pt idx="3">
                  <c:v>4.4225810000000001</c:v>
                </c:pt>
                <c:pt idx="4">
                  <c:v>4.9827940000000002</c:v>
                </c:pt>
                <c:pt idx="5">
                  <c:v>6.2013860000000003</c:v>
                </c:pt>
                <c:pt idx="6">
                  <c:v>6.0442220000000004</c:v>
                </c:pt>
                <c:pt idx="7">
                  <c:v>7.7815950000000003</c:v>
                </c:pt>
                <c:pt idx="8">
                  <c:v>9.5127389999999998</c:v>
                </c:pt>
                <c:pt idx="9">
                  <c:v>9.7299670000000003</c:v>
                </c:pt>
                <c:pt idx="10">
                  <c:v>11.822781000000001</c:v>
                </c:pt>
                <c:pt idx="11">
                  <c:v>11.671872</c:v>
                </c:pt>
                <c:pt idx="12">
                  <c:v>8.5310930000000003</c:v>
                </c:pt>
                <c:pt idx="13">
                  <c:v>6.9022019999999999</c:v>
                </c:pt>
                <c:pt idx="14">
                  <c:v>6.7904410000000004</c:v>
                </c:pt>
                <c:pt idx="15">
                  <c:v>7.4565799999999998</c:v>
                </c:pt>
                <c:pt idx="16">
                  <c:v>7.4962099999999996</c:v>
                </c:pt>
                <c:pt idx="17">
                  <c:v>3.816287</c:v>
                </c:pt>
                <c:pt idx="18">
                  <c:v>3.5730390000000001</c:v>
                </c:pt>
                <c:pt idx="19">
                  <c:v>4.725295</c:v>
                </c:pt>
                <c:pt idx="20">
                  <c:v>7.9148589999999999</c:v>
                </c:pt>
                <c:pt idx="21">
                  <c:v>9.770035</c:v>
                </c:pt>
                <c:pt idx="22">
                  <c:v>11.571096000000001</c:v>
                </c:pt>
                <c:pt idx="23">
                  <c:v>12.403953</c:v>
                </c:pt>
                <c:pt idx="24">
                  <c:v>14.001611</c:v>
                </c:pt>
                <c:pt idx="25">
                  <c:v>14.588303</c:v>
                </c:pt>
                <c:pt idx="26">
                  <c:v>13.724971</c:v>
                </c:pt>
                <c:pt idx="27">
                  <c:v>11.938573999999999</c:v>
                </c:pt>
                <c:pt idx="28">
                  <c:v>13.809532000000001</c:v>
                </c:pt>
                <c:pt idx="29">
                  <c:v>13.279894000000001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70-4EF3-B7F5-05CFC45B9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89487"/>
        <c:axId val="2136100815"/>
      </c:scatterChart>
      <c:valAx>
        <c:axId val="279589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6100815"/>
        <c:crosses val="autoZero"/>
        <c:crossBetween val="midCat"/>
      </c:valAx>
      <c:valAx>
        <c:axId val="213610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589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chart" Target="../charts/chart7.xml"/><Relationship Id="rId7" Type="http://schemas.openxmlformats.org/officeDocument/2006/relationships/image" Target="../media/image5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4.png"/><Relationship Id="rId5" Type="http://schemas.openxmlformats.org/officeDocument/2006/relationships/chart" Target="../charts/chart9.xml"/><Relationship Id="rId10" Type="http://schemas.openxmlformats.org/officeDocument/2006/relationships/chart" Target="../charts/chart10.xml"/><Relationship Id="rId4" Type="http://schemas.openxmlformats.org/officeDocument/2006/relationships/chart" Target="../charts/chart8.xml"/><Relationship Id="rId9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601980</xdr:colOff>
      <xdr:row>7</xdr:row>
      <xdr:rowOff>171450</xdr:rowOff>
    </xdr:from>
    <xdr:to>
      <xdr:col>37</xdr:col>
      <xdr:colOff>0</xdr:colOff>
      <xdr:row>28</xdr:row>
      <xdr:rowOff>7620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7620</xdr:colOff>
      <xdr:row>0</xdr:row>
      <xdr:rowOff>0</xdr:rowOff>
    </xdr:from>
    <xdr:to>
      <xdr:col>13</xdr:col>
      <xdr:colOff>0</xdr:colOff>
      <xdr:row>2</xdr:row>
      <xdr:rowOff>190500</xdr:rowOff>
    </xdr:to>
    <xdr:sp macro="[0]!Foglio2.Main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70320" y="0"/>
          <a:ext cx="1866900" cy="556260"/>
        </a:xfrm>
        <a:prstGeom prst="rect">
          <a:avLst/>
        </a:prstGeom>
        <a:solidFill>
          <a:srgbClr val="FF8585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it-IT" sz="800" b="1"/>
        </a:p>
        <a:p>
          <a:pPr algn="ctr"/>
          <a:r>
            <a:rPr lang="it-IT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AVVIA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15240</xdr:colOff>
      <xdr:row>7</xdr:row>
      <xdr:rowOff>3810</xdr:rowOff>
    </xdr:from>
    <xdr:to>
      <xdr:col>37</xdr:col>
      <xdr:colOff>571500</xdr:colOff>
      <xdr:row>28</xdr:row>
      <xdr:rowOff>45720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</xdr:colOff>
      <xdr:row>2</xdr:row>
      <xdr:rowOff>175260</xdr:rowOff>
    </xdr:from>
    <xdr:to>
      <xdr:col>14</xdr:col>
      <xdr:colOff>99060</xdr:colOff>
      <xdr:row>17</xdr:row>
      <xdr:rowOff>41910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26</xdr:row>
      <xdr:rowOff>68580</xdr:rowOff>
    </xdr:from>
    <xdr:to>
      <xdr:col>8</xdr:col>
      <xdr:colOff>592781</xdr:colOff>
      <xdr:row>28</xdr:row>
      <xdr:rowOff>119487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39640" y="4823460"/>
          <a:ext cx="1202381" cy="4166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18</xdr:row>
          <xdr:rowOff>15240</xdr:rowOff>
        </xdr:from>
        <xdr:to>
          <xdr:col>11</xdr:col>
          <xdr:colOff>304800</xdr:colOff>
          <xdr:row>21</xdr:row>
          <xdr:rowOff>160020</xdr:rowOff>
        </xdr:to>
        <xdr:sp macro="" textlink="">
          <xdr:nvSpPr>
            <xdr:cNvPr id="8193" name="Object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</xdr:colOff>
          <xdr:row>18</xdr:row>
          <xdr:rowOff>0</xdr:rowOff>
        </xdr:from>
        <xdr:to>
          <xdr:col>18</xdr:col>
          <xdr:colOff>236220</xdr:colOff>
          <xdr:row>22</xdr:row>
          <xdr:rowOff>30480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15</xdr:col>
      <xdr:colOff>281940</xdr:colOff>
      <xdr:row>24</xdr:row>
      <xdr:rowOff>175260</xdr:rowOff>
    </xdr:from>
    <xdr:ext cx="419100" cy="1999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sellaDiTest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9723120" y="4564380"/>
              <a:ext cx="419100" cy="199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it-IT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f>
                          <m:fPr>
                            <m:type m:val="lin"/>
                            <m:ctrlPr>
                              <a:rPr lang="it-IT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it-IT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sub>
                      <m:sup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6" name="CasellaDiTesto 5">
              <a:extLst>
                <a:ext uri="{FF2B5EF4-FFF2-40B4-BE49-F238E27FC236}">
                  <a16:creationId xmlns:a16="http://schemas.microsoft.com/office/drawing/2014/main" id="{75A84FA6-4405-4EFF-AD1B-BFF6F118A240}"/>
                </a:ext>
              </a:extLst>
            </xdr:cNvPr>
            <xdr:cNvSpPr txBox="1"/>
          </xdr:nvSpPr>
          <xdr:spPr>
            <a:xfrm>
              <a:off x="9723120" y="4564380"/>
              <a:ext cx="419100" cy="199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it-IT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𝜒_(𝛼∕</a:t>
              </a:r>
              <a:r>
                <a:rPr lang="it-IT" sz="1100" b="0" i="0">
                  <a:latin typeface="Cambria Math" panose="02040503050406030204" pitchFamily="18" charset="0"/>
                </a:rPr>
                <a:t>2)^2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15</xdr:col>
      <xdr:colOff>358140</xdr:colOff>
      <xdr:row>26</xdr:row>
      <xdr:rowOff>148590</xdr:rowOff>
    </xdr:from>
    <xdr:ext cx="439544" cy="1999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sellaDiTes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9799320" y="4903470"/>
              <a:ext cx="439544" cy="199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it-IT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f>
                          <m:fPr>
                            <m:type m:val="lin"/>
                            <m:ctrlPr>
                              <a:rPr lang="it-IT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it-IT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sub>
                      <m:sup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7" name="CasellaDiTesto 6">
              <a:extLst>
                <a:ext uri="{FF2B5EF4-FFF2-40B4-BE49-F238E27FC236}">
                  <a16:creationId xmlns:a16="http://schemas.microsoft.com/office/drawing/2014/main" id="{C17A33AB-8FB9-4817-AF62-F2FFAF4DEE69}"/>
                </a:ext>
              </a:extLst>
            </xdr:cNvPr>
            <xdr:cNvSpPr txBox="1"/>
          </xdr:nvSpPr>
          <xdr:spPr>
            <a:xfrm>
              <a:off x="9799320" y="4903470"/>
              <a:ext cx="439544" cy="199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𝜒_(〖</a:t>
              </a:r>
              <a:r>
                <a:rPr lang="it-IT" sz="1100" b="0" i="0">
                  <a:latin typeface="Cambria Math" panose="02040503050406030204" pitchFamily="18" charset="0"/>
                </a:rPr>
                <a:t>1−</a:t>
              </a:r>
              <a:r>
                <a:rPr lang="it-I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𝛼〗∕</a:t>
              </a:r>
              <a:r>
                <a:rPr lang="it-IT" sz="1100" b="0" i="0">
                  <a:latin typeface="Cambria Math" panose="02040503050406030204" pitchFamily="18" charset="0"/>
                </a:rPr>
                <a:t>2)^2</a:t>
              </a:r>
              <a:endParaRPr lang="it-IT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</xdr:colOff>
      <xdr:row>2</xdr:row>
      <xdr:rowOff>175260</xdr:rowOff>
    </xdr:from>
    <xdr:to>
      <xdr:col>14</xdr:col>
      <xdr:colOff>99060</xdr:colOff>
      <xdr:row>17</xdr:row>
      <xdr:rowOff>41910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26</xdr:row>
      <xdr:rowOff>68580</xdr:rowOff>
    </xdr:from>
    <xdr:to>
      <xdr:col>8</xdr:col>
      <xdr:colOff>592781</xdr:colOff>
      <xdr:row>28</xdr:row>
      <xdr:rowOff>119487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39640" y="3909060"/>
          <a:ext cx="1202381" cy="4166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18</xdr:row>
          <xdr:rowOff>15240</xdr:rowOff>
        </xdr:from>
        <xdr:to>
          <xdr:col>11</xdr:col>
          <xdr:colOff>304800</xdr:colOff>
          <xdr:row>21</xdr:row>
          <xdr:rowOff>160020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</xdr:colOff>
          <xdr:row>18</xdr:row>
          <xdr:rowOff>0</xdr:rowOff>
        </xdr:from>
        <xdr:to>
          <xdr:col>18</xdr:col>
          <xdr:colOff>236220</xdr:colOff>
          <xdr:row>22</xdr:row>
          <xdr:rowOff>30480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15</xdr:col>
      <xdr:colOff>281940</xdr:colOff>
      <xdr:row>24</xdr:row>
      <xdr:rowOff>175260</xdr:rowOff>
    </xdr:from>
    <xdr:ext cx="419100" cy="1999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sellaDiTesto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9723120" y="4564380"/>
              <a:ext cx="419100" cy="199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it-IT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f>
                          <m:fPr>
                            <m:type m:val="lin"/>
                            <m:ctrlPr>
                              <a:rPr lang="it-IT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it-IT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sub>
                      <m:sup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4" name="CasellaDiTesto 3">
              <a:extLst>
                <a:ext uri="{FF2B5EF4-FFF2-40B4-BE49-F238E27FC236}">
                  <a16:creationId xmlns:a16="http://schemas.microsoft.com/office/drawing/2014/main" id="{57810FB9-E3CB-41EE-8A6C-6C547BD6E7DC}"/>
                </a:ext>
              </a:extLst>
            </xdr:cNvPr>
            <xdr:cNvSpPr txBox="1"/>
          </xdr:nvSpPr>
          <xdr:spPr>
            <a:xfrm>
              <a:off x="9723120" y="4564380"/>
              <a:ext cx="419100" cy="199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it-IT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𝜒_(𝛼∕</a:t>
              </a:r>
              <a:r>
                <a:rPr lang="it-IT" sz="1100" b="0" i="0">
                  <a:latin typeface="Cambria Math" panose="02040503050406030204" pitchFamily="18" charset="0"/>
                </a:rPr>
                <a:t>2)^2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15</xdr:col>
      <xdr:colOff>358140</xdr:colOff>
      <xdr:row>26</xdr:row>
      <xdr:rowOff>148590</xdr:rowOff>
    </xdr:from>
    <xdr:ext cx="439544" cy="1999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sellaDiTesto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9799320" y="4903470"/>
              <a:ext cx="439544" cy="199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it-IT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f>
                          <m:fPr>
                            <m:type m:val="lin"/>
                            <m:ctrlPr>
                              <a:rPr lang="it-IT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it-IT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sub>
                      <m:sup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5" name="CasellaDiTesto 4">
              <a:extLst>
                <a:ext uri="{FF2B5EF4-FFF2-40B4-BE49-F238E27FC236}">
                  <a16:creationId xmlns:a16="http://schemas.microsoft.com/office/drawing/2014/main" id="{9A4F1198-3B15-485F-B7EA-532178194B03}"/>
                </a:ext>
              </a:extLst>
            </xdr:cNvPr>
            <xdr:cNvSpPr txBox="1"/>
          </xdr:nvSpPr>
          <xdr:spPr>
            <a:xfrm>
              <a:off x="9799320" y="4903470"/>
              <a:ext cx="439544" cy="199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𝜒_(〖</a:t>
              </a:r>
              <a:r>
                <a:rPr lang="it-IT" sz="1100" b="0" i="0">
                  <a:latin typeface="Cambria Math" panose="02040503050406030204" pitchFamily="18" charset="0"/>
                </a:rPr>
                <a:t>1−</a:t>
              </a:r>
              <a:r>
                <a:rPr lang="it-IT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𝛼〗∕</a:t>
              </a:r>
              <a:r>
                <a:rPr lang="it-IT" sz="1100" b="0" i="0">
                  <a:latin typeface="Cambria Math" panose="02040503050406030204" pitchFamily="18" charset="0"/>
                </a:rPr>
                <a:t>2)^2</a:t>
              </a:r>
              <a:endParaRPr lang="it-IT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0</xdr:row>
      <xdr:rowOff>171450</xdr:rowOff>
    </xdr:from>
    <xdr:to>
      <xdr:col>21</xdr:col>
      <xdr:colOff>320040</xdr:colOff>
      <xdr:row>15</xdr:row>
      <xdr:rowOff>171450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7620</xdr:colOff>
      <xdr:row>0</xdr:row>
      <xdr:rowOff>179070</xdr:rowOff>
    </xdr:from>
    <xdr:to>
      <xdr:col>29</xdr:col>
      <xdr:colOff>312420</xdr:colOff>
      <xdr:row>15</xdr:row>
      <xdr:rowOff>179070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601980</xdr:colOff>
      <xdr:row>20</xdr:row>
      <xdr:rowOff>3810</xdr:rowOff>
    </xdr:from>
    <xdr:to>
      <xdr:col>13</xdr:col>
      <xdr:colOff>297180</xdr:colOff>
      <xdr:row>35</xdr:row>
      <xdr:rowOff>3810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7620</xdr:colOff>
      <xdr:row>19</xdr:row>
      <xdr:rowOff>179070</xdr:rowOff>
    </xdr:from>
    <xdr:to>
      <xdr:col>21</xdr:col>
      <xdr:colOff>312420</xdr:colOff>
      <xdr:row>34</xdr:row>
      <xdr:rowOff>179070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601980</xdr:colOff>
      <xdr:row>19</xdr:row>
      <xdr:rowOff>179070</xdr:rowOff>
    </xdr:from>
    <xdr:to>
      <xdr:col>29</xdr:col>
      <xdr:colOff>297180</xdr:colOff>
      <xdr:row>34</xdr:row>
      <xdr:rowOff>179070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10</xdr:col>
      <xdr:colOff>539751</xdr:colOff>
      <xdr:row>39</xdr:row>
      <xdr:rowOff>31749</xdr:rowOff>
    </xdr:from>
    <xdr:to>
      <xdr:col>12</xdr:col>
      <xdr:colOff>597647</xdr:colOff>
      <xdr:row>41</xdr:row>
      <xdr:rowOff>166539</xdr:rowOff>
    </xdr:to>
    <xdr:pic>
      <xdr:nvPicPr>
        <xdr:cNvPr id="15" name="Immagin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596189" y="7151687"/>
          <a:ext cx="1280271" cy="499915"/>
        </a:xfrm>
        <a:prstGeom prst="rect">
          <a:avLst/>
        </a:prstGeom>
      </xdr:spPr>
    </xdr:pic>
    <xdr:clientData/>
  </xdr:twoCellAnchor>
  <xdr:twoCellAnchor editAs="oneCell">
    <xdr:from>
      <xdr:col>9</xdr:col>
      <xdr:colOff>500063</xdr:colOff>
      <xdr:row>42</xdr:row>
      <xdr:rowOff>158750</xdr:rowOff>
    </xdr:from>
    <xdr:to>
      <xdr:col>12</xdr:col>
      <xdr:colOff>593003</xdr:colOff>
      <xdr:row>45</xdr:row>
      <xdr:rowOff>159750</xdr:rowOff>
    </xdr:to>
    <xdr:pic>
      <xdr:nvPicPr>
        <xdr:cNvPr id="17" name="Immagin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45313" y="7826375"/>
          <a:ext cx="1926503" cy="548688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46</xdr:row>
      <xdr:rowOff>95251</xdr:rowOff>
    </xdr:from>
    <xdr:to>
      <xdr:col>12</xdr:col>
      <xdr:colOff>603995</xdr:colOff>
      <xdr:row>53</xdr:row>
      <xdr:rowOff>40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040563" y="8493126"/>
          <a:ext cx="2731245" cy="1182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341312</xdr:colOff>
      <xdr:row>53</xdr:row>
      <xdr:rowOff>103187</xdr:rowOff>
    </xdr:from>
    <xdr:to>
      <xdr:col>14</xdr:col>
      <xdr:colOff>606448</xdr:colOff>
      <xdr:row>59</xdr:row>
      <xdr:rowOff>117380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064375" y="9779000"/>
          <a:ext cx="3932261" cy="1109568"/>
        </a:xfrm>
        <a:prstGeom prst="rect">
          <a:avLst/>
        </a:prstGeom>
      </xdr:spPr>
    </xdr:pic>
    <xdr:clientData/>
  </xdr:twoCellAnchor>
  <xdr:oneCellAnchor>
    <xdr:from>
      <xdr:col>10</xdr:col>
      <xdr:colOff>114300</xdr:colOff>
      <xdr:row>60</xdr:row>
      <xdr:rowOff>181768</xdr:rowOff>
    </xdr:from>
    <xdr:ext cx="40197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8059738" y="11135518"/>
              <a:ext cx="4019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it-IT" sz="1100" b="0" i="1"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778237DE-0FB5-4353-8935-768914B8FC39}"/>
                </a:ext>
              </a:extLst>
            </xdr:cNvPr>
            <xdr:cNvSpPr txBox="1"/>
          </xdr:nvSpPr>
          <xdr:spPr>
            <a:xfrm>
              <a:off x="8059738" y="11135518"/>
              <a:ext cx="4019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b="0" i="0">
                  <a:latin typeface="Cambria Math" panose="02040503050406030204" pitchFamily="18" charset="0"/>
                </a:rPr>
                <a:t>𝑥_𝑖∗𝑦_𝑖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11</xdr:col>
      <xdr:colOff>233363</xdr:colOff>
      <xdr:row>60</xdr:row>
      <xdr:rowOff>173831</xdr:rowOff>
    </xdr:from>
    <xdr:ext cx="180114" cy="1810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sellaDiTes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8789988" y="11127581"/>
              <a:ext cx="180114" cy="1810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9" name="CasellaDiTesto 8">
              <a:extLst>
                <a:ext uri="{FF2B5EF4-FFF2-40B4-BE49-F238E27FC236}">
                  <a16:creationId xmlns:a16="http://schemas.microsoft.com/office/drawing/2014/main" id="{76BB1C0F-2CB7-461B-8482-212AEBD54096}"/>
                </a:ext>
              </a:extLst>
            </xdr:cNvPr>
            <xdr:cNvSpPr txBox="1"/>
          </xdr:nvSpPr>
          <xdr:spPr>
            <a:xfrm>
              <a:off x="8789988" y="11127581"/>
              <a:ext cx="180114" cy="1810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b="0" i="0">
                  <a:latin typeface="Cambria Math" panose="02040503050406030204" pitchFamily="18" charset="0"/>
                </a:rPr>
                <a:t>𝑥_𝑖^2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12</xdr:col>
      <xdr:colOff>230188</xdr:colOff>
      <xdr:row>61</xdr:row>
      <xdr:rowOff>0</xdr:rowOff>
    </xdr:from>
    <xdr:ext cx="183127" cy="1810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sellaDiTesto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9398001" y="11136313"/>
              <a:ext cx="183127" cy="1810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14" name="CasellaDiTesto 13">
              <a:extLst>
                <a:ext uri="{FF2B5EF4-FFF2-40B4-BE49-F238E27FC236}">
                  <a16:creationId xmlns:a16="http://schemas.microsoft.com/office/drawing/2014/main" id="{DAA17BD3-1100-4F80-BDB0-CF0D96D19225}"/>
                </a:ext>
              </a:extLst>
            </xdr:cNvPr>
            <xdr:cNvSpPr txBox="1"/>
          </xdr:nvSpPr>
          <xdr:spPr>
            <a:xfrm>
              <a:off x="9398001" y="11136313"/>
              <a:ext cx="183127" cy="18101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b="0" i="0">
                  <a:latin typeface="Cambria Math" panose="02040503050406030204" pitchFamily="18" charset="0"/>
                </a:rPr>
                <a:t>𝑦_𝑖^2</a:t>
              </a:r>
              <a:endParaRPr lang="it-IT" sz="1100"/>
            </a:p>
          </xdr:txBody>
        </xdr:sp>
      </mc:Fallback>
    </mc:AlternateContent>
    <xdr:clientData/>
  </xdr:oneCellAnchor>
  <xdr:twoCellAnchor>
    <xdr:from>
      <xdr:col>5</xdr:col>
      <xdr:colOff>601980</xdr:colOff>
      <xdr:row>0</xdr:row>
      <xdr:rowOff>179070</xdr:rowOff>
    </xdr:from>
    <xdr:to>
      <xdr:col>13</xdr:col>
      <xdr:colOff>297180</xdr:colOff>
      <xdr:row>15</xdr:row>
      <xdr:rowOff>179070</xdr:rowOff>
    </xdr:to>
    <xdr:graphicFrame macro="">
      <xdr:nvGraphicFramePr>
        <xdr:cNvPr id="10" name="Grafico 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7</xdr:row>
      <xdr:rowOff>15240</xdr:rowOff>
    </xdr:from>
    <xdr:to>
      <xdr:col>7</xdr:col>
      <xdr:colOff>563880</xdr:colOff>
      <xdr:row>20</xdr:row>
      <xdr:rowOff>121919</xdr:rowOff>
    </xdr:to>
    <xdr:graphicFrame macro="">
      <xdr:nvGraphicFramePr>
        <xdr:cNvPr id="9" name="Grafico 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114300</xdr:colOff>
      <xdr:row>49</xdr:row>
      <xdr:rowOff>45720</xdr:rowOff>
    </xdr:from>
    <xdr:to>
      <xdr:col>7</xdr:col>
      <xdr:colOff>541020</xdr:colOff>
      <xdr:row>63</xdr:row>
      <xdr:rowOff>144779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137160</xdr:colOff>
      <xdr:row>27</xdr:row>
      <xdr:rowOff>30480</xdr:rowOff>
    </xdr:from>
    <xdr:to>
      <xdr:col>7</xdr:col>
      <xdr:colOff>525780</xdr:colOff>
      <xdr:row>42</xdr:row>
      <xdr:rowOff>106679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91440</xdr:colOff>
      <xdr:row>49</xdr:row>
      <xdr:rowOff>53340</xdr:rowOff>
    </xdr:from>
    <xdr:to>
      <xdr:col>16</xdr:col>
      <xdr:colOff>518160</xdr:colOff>
      <xdr:row>63</xdr:row>
      <xdr:rowOff>152399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E6532-D1F2-424B-9CEF-51AD3D3654AA}">
  <sheetPr codeName="Foglio2"/>
  <dimension ref="A1:Z208"/>
  <sheetViews>
    <sheetView workbookViewId="0">
      <selection activeCell="O24" sqref="O24"/>
    </sheetView>
  </sheetViews>
  <sheetFormatPr defaultRowHeight="14.4" x14ac:dyDescent="0.3"/>
  <cols>
    <col min="4" max="4" width="9.6640625" bestFit="1" customWidth="1"/>
    <col min="5" max="5" width="8.88671875" style="12"/>
    <col min="7" max="7" width="12" bestFit="1" customWidth="1"/>
    <col min="11" max="11" width="10" style="2" bestFit="1" customWidth="1"/>
    <col min="12" max="12" width="9.33203125" style="5" bestFit="1" customWidth="1"/>
    <col min="13" max="13" width="8" style="5" customWidth="1"/>
    <col min="15" max="15" width="22" bestFit="1" customWidth="1"/>
    <col min="16" max="16" width="12.5546875" bestFit="1" customWidth="1"/>
    <col min="17" max="17" width="12" bestFit="1" customWidth="1"/>
    <col min="21" max="21" width="9.6640625" bestFit="1" customWidth="1"/>
    <col min="25" max="25" width="12" bestFit="1" customWidth="1"/>
  </cols>
  <sheetData>
    <row r="1" spans="1:26" x14ac:dyDescent="0.3">
      <c r="C1" s="13" t="s">
        <v>229</v>
      </c>
      <c r="D1" s="13"/>
      <c r="E1" s="16">
        <v>1</v>
      </c>
      <c r="G1" s="13" t="s">
        <v>209</v>
      </c>
      <c r="H1" s="13"/>
      <c r="I1" s="16">
        <v>1.05</v>
      </c>
      <c r="K1" s="61"/>
      <c r="L1" s="62"/>
      <c r="M1" s="63"/>
      <c r="O1" s="16" t="s">
        <v>235</v>
      </c>
      <c r="P1" s="16"/>
      <c r="Q1" s="16">
        <f ca="1">E1/I1</f>
        <v>0.95238095238095233</v>
      </c>
      <c r="X1" s="73" t="s">
        <v>273</v>
      </c>
      <c r="Y1" s="74"/>
    </row>
    <row r="2" spans="1:26" x14ac:dyDescent="0.3">
      <c r="A2" s="23" t="s">
        <v>245</v>
      </c>
      <c r="C2" s="13" t="s">
        <v>231</v>
      </c>
      <c r="D2" s="13"/>
      <c r="E2" s="16">
        <f>1/E1</f>
        <v>1</v>
      </c>
      <c r="G2" s="13" t="s">
        <v>230</v>
      </c>
      <c r="H2" s="13"/>
      <c r="I2" s="16">
        <f>1/I1</f>
        <v>0.95238095238095233</v>
      </c>
      <c r="K2" s="64"/>
      <c r="L2" s="69"/>
      <c r="M2" s="65"/>
      <c r="O2" s="16" t="s">
        <v>243</v>
      </c>
      <c r="P2" s="16"/>
      <c r="Q2" s="16">
        <f ca="1">1/(I1*(1-Q1))</f>
        <v>19.999999999999975</v>
      </c>
      <c r="S2" s="21" t="s">
        <v>222</v>
      </c>
      <c r="T2" s="18"/>
      <c r="U2" s="18">
        <f ca="1">MAX(U9:U208)</f>
        <v>9</v>
      </c>
      <c r="X2" s="40" t="s">
        <v>271</v>
      </c>
      <c r="Y2" s="41">
        <f ca="1" xml:space="preserve"> C5/SUM(D9:D208)</f>
        <v>0.95627121613527089</v>
      </c>
    </row>
    <row r="3" spans="1:26" ht="15.6" x14ac:dyDescent="0.3">
      <c r="A3" s="24" t="s">
        <v>244</v>
      </c>
      <c r="C3" s="15" t="s">
        <v>232</v>
      </c>
      <c r="D3" s="15"/>
      <c r="E3" s="15">
        <f ca="1">AVERAGE($D$9:$D$208)</f>
        <v>1.0457284326108414</v>
      </c>
      <c r="G3" s="15" t="s">
        <v>233</v>
      </c>
      <c r="H3" s="15"/>
      <c r="I3" s="15">
        <f ca="1">AVERAGE($H$9:$H$208)</f>
        <v>0.98073312358812192</v>
      </c>
      <c r="K3" s="66"/>
      <c r="L3" s="67"/>
      <c r="M3" s="68"/>
      <c r="O3" s="15" t="s">
        <v>234</v>
      </c>
      <c r="P3" s="17"/>
      <c r="Q3" s="17">
        <f ca="1">AVERAGE($O$9:$O$208)</f>
        <v>3.7725141089581156</v>
      </c>
      <c r="X3" s="43" t="s">
        <v>272</v>
      </c>
      <c r="Y3" s="42">
        <f ca="1">C5/SUM(H9:H208)</f>
        <v>1.0196453815502713</v>
      </c>
    </row>
    <row r="4" spans="1:26" x14ac:dyDescent="0.3">
      <c r="K4" s="70" t="s">
        <v>281</v>
      </c>
      <c r="L4" s="34"/>
      <c r="M4" s="34"/>
      <c r="O4" s="16" t="s">
        <v>236</v>
      </c>
      <c r="P4" s="16"/>
      <c r="Q4" s="16">
        <f ca="1">Q1/(I1*(1-Q1))</f>
        <v>19.047619047619023</v>
      </c>
    </row>
    <row r="5" spans="1:26" x14ac:dyDescent="0.3">
      <c r="A5" s="25" t="s">
        <v>242</v>
      </c>
      <c r="B5" s="26"/>
      <c r="C5" s="25">
        <v>200</v>
      </c>
      <c r="D5" s="1"/>
      <c r="E5" s="1"/>
      <c r="G5" s="1"/>
      <c r="H5" s="1"/>
      <c r="I5" s="1"/>
      <c r="J5" s="1"/>
      <c r="K5" s="3"/>
      <c r="L5" s="6"/>
      <c r="M5" s="6"/>
      <c r="N5" s="1"/>
      <c r="O5" s="15" t="s">
        <v>237</v>
      </c>
      <c r="P5" s="15"/>
      <c r="Q5" s="17">
        <f ca="1">AVERAGE(P9:P208)</f>
        <v>2.7917809599999992</v>
      </c>
      <c r="R5" s="1"/>
      <c r="S5" s="1"/>
      <c r="T5" s="1"/>
      <c r="U5" s="1"/>
      <c r="V5" s="1"/>
      <c r="W5" s="1"/>
    </row>
    <row r="6" spans="1:26" x14ac:dyDescent="0.3">
      <c r="B6" s="1"/>
      <c r="C6" s="1"/>
      <c r="D6" s="1"/>
      <c r="E6" s="1"/>
      <c r="F6" s="1"/>
      <c r="G6" s="1"/>
      <c r="H6" s="1"/>
      <c r="I6" s="1"/>
      <c r="J6" s="1"/>
      <c r="K6" s="3"/>
      <c r="L6" s="6"/>
      <c r="M6" s="6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6" x14ac:dyDescent="0.3">
      <c r="D7" s="11" t="s">
        <v>207</v>
      </c>
      <c r="E7" s="11" t="s">
        <v>208</v>
      </c>
      <c r="F7" s="22"/>
      <c r="G7" s="11"/>
      <c r="H7" s="11" t="s">
        <v>207</v>
      </c>
      <c r="I7" s="11" t="s">
        <v>206</v>
      </c>
      <c r="K7" s="4" t="s">
        <v>205</v>
      </c>
      <c r="L7" s="7" t="s">
        <v>210</v>
      </c>
      <c r="M7" s="9" t="s">
        <v>212</v>
      </c>
      <c r="O7" s="11" t="s">
        <v>207</v>
      </c>
      <c r="P7" s="11" t="s">
        <v>207</v>
      </c>
      <c r="Q7" s="11" t="s">
        <v>238</v>
      </c>
      <c r="S7" s="11" t="s">
        <v>216</v>
      </c>
      <c r="T7" s="11" t="s">
        <v>218</v>
      </c>
      <c r="U7" s="11" t="s">
        <v>220</v>
      </c>
      <c r="X7" s="11"/>
      <c r="Y7" s="11" t="s">
        <v>223</v>
      </c>
      <c r="Z7" s="11" t="s">
        <v>225</v>
      </c>
    </row>
    <row r="8" spans="1:26" x14ac:dyDescent="0.3">
      <c r="A8" s="14" t="s">
        <v>241</v>
      </c>
      <c r="B8" s="11" t="s">
        <v>240</v>
      </c>
      <c r="C8" s="11" t="s">
        <v>202</v>
      </c>
      <c r="D8" s="11" t="s">
        <v>204</v>
      </c>
      <c r="E8" s="11" t="s">
        <v>203</v>
      </c>
      <c r="G8" s="11" t="s">
        <v>202</v>
      </c>
      <c r="H8" s="11" t="s">
        <v>201</v>
      </c>
      <c r="I8" s="11" t="s">
        <v>200</v>
      </c>
      <c r="K8" s="4" t="s">
        <v>228</v>
      </c>
      <c r="L8" s="8" t="s">
        <v>211</v>
      </c>
      <c r="M8" s="9" t="s">
        <v>213</v>
      </c>
      <c r="O8" s="11" t="s">
        <v>214</v>
      </c>
      <c r="P8" s="11" t="s">
        <v>215</v>
      </c>
      <c r="Q8" s="11" t="s">
        <v>239</v>
      </c>
      <c r="S8" s="19" t="s">
        <v>217</v>
      </c>
      <c r="T8" s="19" t="s">
        <v>219</v>
      </c>
      <c r="U8" s="20" t="s">
        <v>221</v>
      </c>
      <c r="X8" s="11" t="s">
        <v>220</v>
      </c>
      <c r="Y8" s="11" t="s">
        <v>224</v>
      </c>
      <c r="Z8" s="11" t="s">
        <v>226</v>
      </c>
    </row>
    <row r="9" spans="1:26" x14ac:dyDescent="0.3">
      <c r="A9">
        <v>1</v>
      </c>
      <c r="B9" t="s">
        <v>199</v>
      </c>
      <c r="C9">
        <f t="shared" ref="C9:C72" ca="1" si="0">RAND()</f>
        <v>0.64589701867736449</v>
      </c>
      <c r="D9">
        <f t="shared" ref="D9:D40" ca="1" si="1">-LN($C9)*$E$2</f>
        <v>0.43711520171939677</v>
      </c>
      <c r="E9" s="12">
        <f ca="1">D9</f>
        <v>0.43711520171939677</v>
      </c>
      <c r="G9">
        <f t="shared" ref="G9:G72" ca="1" si="2">RAND()</f>
        <v>0.89204681377762207</v>
      </c>
      <c r="H9">
        <f t="shared" ref="H9:H40" ca="1" si="3">-LN($G9*$I$2)</f>
        <v>0.1630268301352043</v>
      </c>
      <c r="I9">
        <v>0.60014203185460113</v>
      </c>
      <c r="K9" s="2" t="s">
        <v>199</v>
      </c>
      <c r="O9">
        <f ca="1">$I9-$E9</f>
        <v>0.16302683013520436</v>
      </c>
      <c r="P9">
        <f ca="1">MAX(0, ROUND($O9-$H9, 6))</f>
        <v>0</v>
      </c>
      <c r="Q9" s="27" t="s">
        <v>247</v>
      </c>
      <c r="S9">
        <f ca="1">COUNTIF($E$9:$E$208, "&lt;=" &amp;$E9)</f>
        <v>1</v>
      </c>
      <c r="T9">
        <f ca="1">COUNTIF($I$9:$I$208, "&lt;=" &amp;$E9)</f>
        <v>0</v>
      </c>
      <c r="U9">
        <f ca="1">$S9-$T9</f>
        <v>1</v>
      </c>
      <c r="X9">
        <v>1</v>
      </c>
      <c r="Y9">
        <f ca="1">COUNTIF($U$9:$U$208, "&lt;=" &amp;$X9)</f>
        <v>11</v>
      </c>
      <c r="Z9" s="2">
        <f ca="1">Y9/C5</f>
        <v>5.5E-2</v>
      </c>
    </row>
    <row r="10" spans="1:26" x14ac:dyDescent="0.3">
      <c r="A10">
        <f t="shared" ref="A10:A73" si="4">1+$A9</f>
        <v>2</v>
      </c>
      <c r="B10" t="s">
        <v>198</v>
      </c>
      <c r="C10">
        <f t="shared" ca="1" si="0"/>
        <v>0.13462289166565844</v>
      </c>
      <c r="D10">
        <f t="shared" ca="1" si="1"/>
        <v>2.0052778044218393</v>
      </c>
      <c r="E10" s="12">
        <f t="shared" ref="E10:E73" ca="1" si="5">$E9+$D10</f>
        <v>2.442393006141236</v>
      </c>
      <c r="G10">
        <f t="shared" ca="1" si="2"/>
        <v>0.92669104165989136</v>
      </c>
      <c r="H10">
        <f t="shared" ca="1" si="3"/>
        <v>0.12492522153141586</v>
      </c>
      <c r="I10">
        <v>2.5673182276726521</v>
      </c>
      <c r="K10" s="2" t="s">
        <v>198</v>
      </c>
      <c r="O10">
        <f ca="1">$I10-$E10</f>
        <v>0.12492522153141605</v>
      </c>
      <c r="P10">
        <f t="shared" ref="P10:P40" ca="1" si="6">MAX(0, ROUND($O10-$H10, 6))</f>
        <v>0</v>
      </c>
      <c r="Q10" s="27" t="s">
        <v>247</v>
      </c>
      <c r="S10">
        <f ca="1">COUNTIF($E$9:$E$208, "&lt;=" &amp;$E10)</f>
        <v>2</v>
      </c>
      <c r="T10">
        <f ca="1">COUNTIF($I$9:$I$208, "&lt;=" &amp;$E10)</f>
        <v>1</v>
      </c>
      <c r="U10">
        <f t="shared" ref="U10:U40" ca="1" si="7">$S10-$T10</f>
        <v>1</v>
      </c>
      <c r="X10">
        <f t="shared" ref="X10:X21" ca="1" si="8">$X9 + 1</f>
        <v>2</v>
      </c>
      <c r="Y10">
        <f t="shared" ref="Y10:Y28" ca="1" si="9">COUNTIF($U$9:$U$208, "&lt;=" &amp;$X10)</f>
        <v>32</v>
      </c>
      <c r="Z10" s="2">
        <f ca="1">($Y10-$Y9)/$C$5</f>
        <v>0.105</v>
      </c>
    </row>
    <row r="11" spans="1:26" x14ac:dyDescent="0.3">
      <c r="A11">
        <f t="shared" si="4"/>
        <v>3</v>
      </c>
      <c r="B11" t="s">
        <v>197</v>
      </c>
      <c r="C11">
        <f t="shared" ca="1" si="0"/>
        <v>0.17341769473837199</v>
      </c>
      <c r="D11">
        <f t="shared" ca="1" si="1"/>
        <v>1.7520521740613202</v>
      </c>
      <c r="E11" s="12">
        <f t="shared" ca="1" si="5"/>
        <v>4.194445180202556</v>
      </c>
      <c r="G11">
        <f t="shared" ca="1" si="2"/>
        <v>0.34955164531039273</v>
      </c>
      <c r="H11">
        <f t="shared" ca="1" si="3"/>
        <v>1.099894123266038</v>
      </c>
      <c r="I11">
        <v>5.2943393034685942</v>
      </c>
      <c r="K11" s="2" t="s">
        <v>197</v>
      </c>
      <c r="O11">
        <f t="shared" ref="O11:O40" ca="1" si="10">$I11-$E11</f>
        <v>1.0998941232660382</v>
      </c>
      <c r="P11">
        <f t="shared" ca="1" si="6"/>
        <v>0</v>
      </c>
      <c r="Q11" s="27" t="s">
        <v>247</v>
      </c>
      <c r="S11">
        <f t="shared" ref="S11:S40" ca="1" si="11">COUNTIF($E$9:$E$208, "&lt;=" &amp;$E11)</f>
        <v>3</v>
      </c>
      <c r="T11">
        <f t="shared" ref="T11:T40" ca="1" si="12">COUNTIF($I$9:$I$208, "&lt;=" &amp;$E11)</f>
        <v>2</v>
      </c>
      <c r="U11">
        <f t="shared" ca="1" si="7"/>
        <v>1</v>
      </c>
      <c r="X11">
        <f t="shared" ca="1" si="8"/>
        <v>3</v>
      </c>
      <c r="Y11">
        <f t="shared" ca="1" si="9"/>
        <v>67</v>
      </c>
      <c r="Z11" s="2">
        <f t="shared" ref="Z11:Z28" ca="1" si="13">($Y11-$Y10)/$C$5</f>
        <v>0.17499999999999999</v>
      </c>
    </row>
    <row r="12" spans="1:26" x14ac:dyDescent="0.3">
      <c r="A12">
        <f t="shared" si="4"/>
        <v>4</v>
      </c>
      <c r="B12" t="s">
        <v>196</v>
      </c>
      <c r="C12">
        <f t="shared" ca="1" si="0"/>
        <v>6.068466716525045E-2</v>
      </c>
      <c r="D12">
        <f t="shared" ca="1" si="1"/>
        <v>2.8020642130684905</v>
      </c>
      <c r="E12" s="12">
        <f t="shared" ca="1" si="5"/>
        <v>6.9965093932710465</v>
      </c>
      <c r="G12">
        <f t="shared" ca="1" si="2"/>
        <v>0.84018261363190205</v>
      </c>
      <c r="H12">
        <f t="shared" ca="1" si="3"/>
        <v>0.22292617776071683</v>
      </c>
      <c r="I12">
        <v>7.219435571031763</v>
      </c>
      <c r="K12" s="2" t="s">
        <v>196</v>
      </c>
      <c r="O12">
        <f t="shared" ca="1" si="10"/>
        <v>0.22292617776071655</v>
      </c>
      <c r="P12">
        <f t="shared" ca="1" si="6"/>
        <v>0</v>
      </c>
      <c r="Q12" s="27" t="s">
        <v>247</v>
      </c>
      <c r="S12">
        <f t="shared" ca="1" si="11"/>
        <v>4</v>
      </c>
      <c r="T12">
        <f t="shared" ca="1" si="12"/>
        <v>3</v>
      </c>
      <c r="U12">
        <f t="shared" ca="1" si="7"/>
        <v>1</v>
      </c>
      <c r="X12">
        <f t="shared" ca="1" si="8"/>
        <v>4</v>
      </c>
      <c r="Y12">
        <f t="shared" ca="1" si="9"/>
        <v>107</v>
      </c>
      <c r="Z12" s="2">
        <f t="shared" ca="1" si="13"/>
        <v>0.2</v>
      </c>
    </row>
    <row r="13" spans="1:26" x14ac:dyDescent="0.3">
      <c r="A13">
        <f t="shared" si="4"/>
        <v>5</v>
      </c>
      <c r="B13" t="s">
        <v>195</v>
      </c>
      <c r="C13">
        <f t="shared" ca="1" si="0"/>
        <v>0.48657816423584455</v>
      </c>
      <c r="D13">
        <f t="shared" ca="1" si="1"/>
        <v>0.72035772379527307</v>
      </c>
      <c r="E13" s="12">
        <f t="shared" ca="1" si="5"/>
        <v>7.7168671170663199</v>
      </c>
      <c r="G13">
        <f t="shared" ca="1" si="2"/>
        <v>4.8332645267388008E-2</v>
      </c>
      <c r="H13">
        <f t="shared" ca="1" si="3"/>
        <v>3.0784382253475795</v>
      </c>
      <c r="I13">
        <v>10.795305342413899</v>
      </c>
      <c r="K13" s="2" t="s">
        <v>195</v>
      </c>
      <c r="O13">
        <f t="shared" ca="1" si="10"/>
        <v>3.078438225347579</v>
      </c>
      <c r="P13">
        <f t="shared" ca="1" si="6"/>
        <v>0</v>
      </c>
      <c r="Q13" s="27" t="s">
        <v>247</v>
      </c>
      <c r="S13">
        <f t="shared" ca="1" si="11"/>
        <v>5</v>
      </c>
      <c r="T13">
        <f t="shared" ca="1" si="12"/>
        <v>4</v>
      </c>
      <c r="U13">
        <f t="shared" ca="1" si="7"/>
        <v>1</v>
      </c>
      <c r="X13">
        <f t="shared" ca="1" si="8"/>
        <v>5</v>
      </c>
      <c r="Y13">
        <f t="shared" ca="1" si="9"/>
        <v>140</v>
      </c>
      <c r="Z13" s="2">
        <f t="shared" ca="1" si="13"/>
        <v>0.16500000000000001</v>
      </c>
    </row>
    <row r="14" spans="1:26" x14ac:dyDescent="0.3">
      <c r="A14">
        <f t="shared" si="4"/>
        <v>6</v>
      </c>
      <c r="B14" t="s">
        <v>194</v>
      </c>
      <c r="C14">
        <f t="shared" ca="1" si="0"/>
        <v>0.79110371027816917</v>
      </c>
      <c r="D14">
        <f t="shared" ca="1" si="1"/>
        <v>0.23432620694155346</v>
      </c>
      <c r="E14" s="12">
        <f t="shared" ca="1" si="5"/>
        <v>7.9511933240078729</v>
      </c>
      <c r="G14">
        <f t="shared" ca="1" si="2"/>
        <v>0.44878677466087658</v>
      </c>
      <c r="H14">
        <f t="shared" ca="1" si="3"/>
        <v>0.84999755760170759</v>
      </c>
      <c r="I14">
        <v>12.029908804367299</v>
      </c>
      <c r="K14" s="2" t="s">
        <v>192</v>
      </c>
      <c r="O14">
        <f t="shared" ca="1" si="10"/>
        <v>4.0787154803594259</v>
      </c>
      <c r="P14">
        <f t="shared" ca="1" si="6"/>
        <v>3.2287180000000002</v>
      </c>
      <c r="Q14" s="27" t="s">
        <v>247</v>
      </c>
      <c r="S14">
        <f t="shared" ca="1" si="11"/>
        <v>6</v>
      </c>
      <c r="T14">
        <f t="shared" ca="1" si="12"/>
        <v>4</v>
      </c>
      <c r="U14">
        <f t="shared" ca="1" si="7"/>
        <v>2</v>
      </c>
      <c r="X14">
        <f t="shared" ca="1" si="8"/>
        <v>6</v>
      </c>
      <c r="Y14">
        <f t="shared" ca="1" si="9"/>
        <v>164</v>
      </c>
      <c r="Z14" s="2">
        <f t="shared" ca="1" si="13"/>
        <v>0.12</v>
      </c>
    </row>
    <row r="15" spans="1:26" x14ac:dyDescent="0.3">
      <c r="A15">
        <f t="shared" si="4"/>
        <v>7</v>
      </c>
      <c r="B15" t="s">
        <v>193</v>
      </c>
      <c r="C15">
        <f t="shared" ca="1" si="0"/>
        <v>0.39989299304967474</v>
      </c>
      <c r="D15">
        <f t="shared" ca="1" si="1"/>
        <v>0.9165582850391244</v>
      </c>
      <c r="E15" s="12">
        <f t="shared" ca="1" si="5"/>
        <v>8.8677516090469979</v>
      </c>
      <c r="G15">
        <f t="shared" ca="1" si="2"/>
        <v>0.1583599131420903</v>
      </c>
      <c r="H15">
        <f t="shared" ca="1" si="3"/>
        <v>1.8916750693976851</v>
      </c>
      <c r="I15">
        <v>13.921583873764984</v>
      </c>
      <c r="K15" s="2" t="s">
        <v>194</v>
      </c>
      <c r="O15">
        <f t="shared" ca="1" si="10"/>
        <v>5.0538322647179861</v>
      </c>
      <c r="P15">
        <f t="shared" ca="1" si="6"/>
        <v>3.1621570000000001</v>
      </c>
      <c r="Q15" s="27" t="s">
        <v>247</v>
      </c>
      <c r="S15">
        <f t="shared" ca="1" si="11"/>
        <v>7</v>
      </c>
      <c r="T15">
        <f t="shared" ca="1" si="12"/>
        <v>4</v>
      </c>
      <c r="U15">
        <f t="shared" ca="1" si="7"/>
        <v>3</v>
      </c>
      <c r="X15">
        <f t="shared" ca="1" si="8"/>
        <v>7</v>
      </c>
      <c r="Y15">
        <f t="shared" ca="1" si="9"/>
        <v>188</v>
      </c>
      <c r="Z15" s="2">
        <f t="shared" ca="1" si="13"/>
        <v>0.12</v>
      </c>
    </row>
    <row r="16" spans="1:26" x14ac:dyDescent="0.3">
      <c r="A16">
        <f t="shared" si="4"/>
        <v>8</v>
      </c>
      <c r="B16" t="s">
        <v>192</v>
      </c>
      <c r="C16">
        <f t="shared" ca="1" si="0"/>
        <v>0.3085233637830217</v>
      </c>
      <c r="D16">
        <f t="shared" ca="1" si="1"/>
        <v>1.175957705009933</v>
      </c>
      <c r="E16" s="12">
        <f t="shared" ca="1" si="5"/>
        <v>10.043709314056931</v>
      </c>
      <c r="G16">
        <f t="shared" ca="1" si="2"/>
        <v>0.71475479427136002</v>
      </c>
      <c r="H16">
        <f t="shared" ca="1" si="3"/>
        <v>0.38460590435169284</v>
      </c>
      <c r="I16">
        <v>11.179911246765592</v>
      </c>
      <c r="K16" s="2" t="s">
        <v>193</v>
      </c>
      <c r="O16">
        <f t="shared" ca="1" si="10"/>
        <v>1.1362019327086603</v>
      </c>
      <c r="P16">
        <f t="shared" ca="1" si="6"/>
        <v>0.75159600000000004</v>
      </c>
      <c r="Q16" s="27" t="s">
        <v>247</v>
      </c>
      <c r="S16">
        <f t="shared" ca="1" si="11"/>
        <v>8</v>
      </c>
      <c r="T16">
        <f t="shared" ca="1" si="12"/>
        <v>4</v>
      </c>
      <c r="U16">
        <f t="shared" ca="1" si="7"/>
        <v>4</v>
      </c>
      <c r="X16">
        <f t="shared" ca="1" si="8"/>
        <v>8</v>
      </c>
      <c r="Y16">
        <f t="shared" ca="1" si="9"/>
        <v>199</v>
      </c>
      <c r="Z16" s="2">
        <f t="shared" ca="1" si="13"/>
        <v>5.5E-2</v>
      </c>
    </row>
    <row r="17" spans="1:26" x14ac:dyDescent="0.3">
      <c r="A17">
        <f t="shared" si="4"/>
        <v>9</v>
      </c>
      <c r="B17" t="s">
        <v>191</v>
      </c>
      <c r="C17">
        <f t="shared" ca="1" si="0"/>
        <v>0.21089243360451215</v>
      </c>
      <c r="D17">
        <f t="shared" ca="1" si="1"/>
        <v>1.5564070688384215</v>
      </c>
      <c r="E17" s="12">
        <f t="shared" ca="1" si="5"/>
        <v>11.600116382895353</v>
      </c>
      <c r="G17">
        <f t="shared" ca="1" si="2"/>
        <v>9.3011411499861585E-2</v>
      </c>
      <c r="H17">
        <f t="shared" ca="1" si="3"/>
        <v>2.4238232532262831</v>
      </c>
      <c r="I17">
        <v>16.959721112186855</v>
      </c>
      <c r="K17" s="2" t="s">
        <v>190</v>
      </c>
      <c r="O17">
        <f t="shared" ca="1" si="10"/>
        <v>5.3596047292915028</v>
      </c>
      <c r="P17">
        <f t="shared" ca="1" si="6"/>
        <v>2.935781</v>
      </c>
      <c r="Q17" s="27" t="s">
        <v>247</v>
      </c>
      <c r="S17">
        <f t="shared" ca="1" si="11"/>
        <v>9</v>
      </c>
      <c r="T17">
        <f t="shared" ca="1" si="12"/>
        <v>6</v>
      </c>
      <c r="U17">
        <f t="shared" ca="1" si="7"/>
        <v>3</v>
      </c>
      <c r="X17">
        <f t="shared" ca="1" si="8"/>
        <v>9</v>
      </c>
      <c r="Y17">
        <f t="shared" ca="1" si="9"/>
        <v>200</v>
      </c>
      <c r="Z17" s="2">
        <f t="shared" ca="1" si="13"/>
        <v>5.0000000000000001E-3</v>
      </c>
    </row>
    <row r="18" spans="1:26" x14ac:dyDescent="0.3">
      <c r="A18">
        <f t="shared" si="4"/>
        <v>10</v>
      </c>
      <c r="B18" t="s">
        <v>190</v>
      </c>
      <c r="C18">
        <f t="shared" ca="1" si="0"/>
        <v>0.58657086724818297</v>
      </c>
      <c r="D18">
        <f t="shared" ca="1" si="1"/>
        <v>0.53346178741536621</v>
      </c>
      <c r="E18" s="12">
        <f t="shared" ca="1" si="5"/>
        <v>12.133578170310718</v>
      </c>
      <c r="G18">
        <f t="shared" ca="1" si="2"/>
        <v>0.8661102284811496</v>
      </c>
      <c r="H18">
        <f t="shared" ca="1" si="3"/>
        <v>0.19253325806886881</v>
      </c>
      <c r="I18">
        <v>14.114117131833853</v>
      </c>
      <c r="K18" s="2" t="s">
        <v>189</v>
      </c>
      <c r="O18">
        <f t="shared" ca="1" si="10"/>
        <v>1.9805389615231341</v>
      </c>
      <c r="P18">
        <f t="shared" ca="1" si="6"/>
        <v>1.788006</v>
      </c>
      <c r="Q18" s="27" t="s">
        <v>247</v>
      </c>
      <c r="S18">
        <f t="shared" ca="1" si="11"/>
        <v>10</v>
      </c>
      <c r="T18">
        <f t="shared" ca="1" si="12"/>
        <v>7</v>
      </c>
      <c r="U18">
        <f t="shared" ca="1" si="7"/>
        <v>3</v>
      </c>
      <c r="X18">
        <f t="shared" ca="1" si="8"/>
        <v>10</v>
      </c>
      <c r="Y18">
        <f t="shared" ca="1" si="9"/>
        <v>200</v>
      </c>
      <c r="Z18" s="2">
        <f t="shared" ca="1" si="13"/>
        <v>0</v>
      </c>
    </row>
    <row r="19" spans="1:26" x14ac:dyDescent="0.3">
      <c r="A19">
        <f t="shared" si="4"/>
        <v>11</v>
      </c>
      <c r="B19" t="s">
        <v>189</v>
      </c>
      <c r="C19">
        <f t="shared" ca="1" si="0"/>
        <v>0.54101254028047174</v>
      </c>
      <c r="D19">
        <f t="shared" ca="1" si="1"/>
        <v>0.61431282058827419</v>
      </c>
      <c r="E19" s="12">
        <f t="shared" ca="1" si="5"/>
        <v>12.747890990898993</v>
      </c>
      <c r="G19">
        <f t="shared" ca="1" si="2"/>
        <v>0.68867173183783648</v>
      </c>
      <c r="H19">
        <f t="shared" ca="1" si="3"/>
        <v>0.42178072712672238</v>
      </c>
      <c r="I19">
        <v>14.535897858960574</v>
      </c>
      <c r="K19" s="2" t="s">
        <v>191</v>
      </c>
      <c r="O19">
        <f t="shared" ca="1" si="10"/>
        <v>1.788006868061581</v>
      </c>
      <c r="P19">
        <f t="shared" ca="1" si="6"/>
        <v>1.3662259999999999</v>
      </c>
      <c r="Q19" s="27" t="s">
        <v>247</v>
      </c>
      <c r="S19">
        <f t="shared" ca="1" si="11"/>
        <v>11</v>
      </c>
      <c r="T19">
        <f t="shared" ca="1" si="12"/>
        <v>7</v>
      </c>
      <c r="U19">
        <f t="shared" ca="1" si="7"/>
        <v>4</v>
      </c>
      <c r="X19">
        <f t="shared" ca="1" si="8"/>
        <v>11</v>
      </c>
      <c r="Y19">
        <f t="shared" ca="1" si="9"/>
        <v>200</v>
      </c>
      <c r="Z19" s="2">
        <f t="shared" ca="1" si="13"/>
        <v>0</v>
      </c>
    </row>
    <row r="20" spans="1:26" x14ac:dyDescent="0.3">
      <c r="A20">
        <f t="shared" si="4"/>
        <v>12</v>
      </c>
      <c r="B20" t="s">
        <v>188</v>
      </c>
      <c r="C20">
        <f t="shared" ca="1" si="0"/>
        <v>0.15598091274092973</v>
      </c>
      <c r="D20">
        <f t="shared" ca="1" si="1"/>
        <v>1.8580216334432982</v>
      </c>
      <c r="E20" s="12">
        <f t="shared" ca="1" si="5"/>
        <v>14.605912624342292</v>
      </c>
      <c r="G20">
        <f t="shared" ca="1" si="2"/>
        <v>6.076296007364157E-2</v>
      </c>
      <c r="H20">
        <f t="shared" ca="1" si="3"/>
        <v>2.8495650491379494</v>
      </c>
      <c r="I20">
        <v>27.713405693915508</v>
      </c>
      <c r="K20" s="2" t="s">
        <v>187</v>
      </c>
      <c r="O20">
        <f t="shared" ca="1" si="10"/>
        <v>13.107493069573216</v>
      </c>
      <c r="P20">
        <f t="shared" ca="1" si="6"/>
        <v>10.257928</v>
      </c>
      <c r="Q20" s="27" t="s">
        <v>247</v>
      </c>
      <c r="S20">
        <f t="shared" ca="1" si="11"/>
        <v>12</v>
      </c>
      <c r="T20">
        <f t="shared" ca="1" si="12"/>
        <v>10</v>
      </c>
      <c r="U20">
        <f t="shared" ca="1" si="7"/>
        <v>2</v>
      </c>
      <c r="X20">
        <f t="shared" ca="1" si="8"/>
        <v>12</v>
      </c>
      <c r="Y20">
        <f t="shared" ca="1" si="9"/>
        <v>200</v>
      </c>
      <c r="Z20" s="2">
        <f t="shared" ca="1" si="13"/>
        <v>0</v>
      </c>
    </row>
    <row r="21" spans="1:26" x14ac:dyDescent="0.3">
      <c r="A21">
        <f t="shared" si="4"/>
        <v>13</v>
      </c>
      <c r="B21" t="s">
        <v>187</v>
      </c>
      <c r="C21">
        <f t="shared" ca="1" si="0"/>
        <v>0.90759377209074221</v>
      </c>
      <c r="D21">
        <f t="shared" ca="1" si="1"/>
        <v>9.6958388053781486E-2</v>
      </c>
      <c r="E21" s="12">
        <f t="shared" ca="1" si="5"/>
        <v>14.702871012396074</v>
      </c>
      <c r="G21">
        <f t="shared" ca="1" si="2"/>
        <v>0.57033655306851994</v>
      </c>
      <c r="H21">
        <f t="shared" ca="1" si="3"/>
        <v>0.6103188125865765</v>
      </c>
      <c r="I21">
        <v>17.570039924773432</v>
      </c>
      <c r="K21" s="2" t="s">
        <v>184</v>
      </c>
      <c r="O21">
        <f t="shared" ca="1" si="10"/>
        <v>2.8671689123773589</v>
      </c>
      <c r="P21">
        <f t="shared" ca="1" si="6"/>
        <v>2.25685</v>
      </c>
      <c r="Q21" s="27" t="s">
        <v>247</v>
      </c>
      <c r="S21">
        <f t="shared" ca="1" si="11"/>
        <v>13</v>
      </c>
      <c r="T21">
        <f t="shared" ca="1" si="12"/>
        <v>10</v>
      </c>
      <c r="U21">
        <f t="shared" ca="1" si="7"/>
        <v>3</v>
      </c>
      <c r="X21">
        <f t="shared" ca="1" si="8"/>
        <v>13</v>
      </c>
      <c r="Y21">
        <f t="shared" ca="1" si="9"/>
        <v>200</v>
      </c>
      <c r="Z21" s="2">
        <f t="shared" ca="1" si="13"/>
        <v>0</v>
      </c>
    </row>
    <row r="22" spans="1:26" x14ac:dyDescent="0.3">
      <c r="A22">
        <f t="shared" si="4"/>
        <v>14</v>
      </c>
      <c r="B22" t="s">
        <v>186</v>
      </c>
      <c r="C22">
        <f t="shared" ca="1" si="0"/>
        <v>0.51813238453563704</v>
      </c>
      <c r="D22">
        <f t="shared" ca="1" si="1"/>
        <v>0.65752450077313007</v>
      </c>
      <c r="E22" s="12">
        <f t="shared" ca="1" si="5"/>
        <v>15.360395513169204</v>
      </c>
      <c r="G22">
        <f t="shared" ca="1" si="2"/>
        <v>0.27658476611510152</v>
      </c>
      <c r="H22">
        <f t="shared" ca="1" si="3"/>
        <v>1.3340281009434016</v>
      </c>
      <c r="I22">
        <v>19.535295380509961</v>
      </c>
      <c r="K22" s="2" t="s">
        <v>186</v>
      </c>
      <c r="O22">
        <f t="shared" ca="1" si="10"/>
        <v>4.1748998673407574</v>
      </c>
      <c r="P22">
        <f t="shared" ca="1" si="6"/>
        <v>2.8408720000000001</v>
      </c>
      <c r="Q22" s="27" t="s">
        <v>247</v>
      </c>
      <c r="S22">
        <f t="shared" ca="1" si="11"/>
        <v>14</v>
      </c>
      <c r="T22">
        <f t="shared" ca="1" si="12"/>
        <v>10</v>
      </c>
      <c r="U22">
        <f t="shared" ca="1" si="7"/>
        <v>4</v>
      </c>
      <c r="X22">
        <f t="shared" ref="X22:X26" ca="1" si="14">$X21 + 1</f>
        <v>14</v>
      </c>
      <c r="Y22">
        <f t="shared" ca="1" si="9"/>
        <v>200</v>
      </c>
      <c r="Z22" s="2">
        <f t="shared" ca="1" si="13"/>
        <v>0</v>
      </c>
    </row>
    <row r="23" spans="1:26" x14ac:dyDescent="0.3">
      <c r="A23">
        <f t="shared" si="4"/>
        <v>15</v>
      </c>
      <c r="B23" t="s">
        <v>185</v>
      </c>
      <c r="C23">
        <f t="shared" ca="1" si="0"/>
        <v>0.21180788141729878</v>
      </c>
      <c r="D23">
        <f t="shared" ca="1" si="1"/>
        <v>1.5520756349051883</v>
      </c>
      <c r="E23" s="12">
        <f t="shared" ca="1" si="5"/>
        <v>16.912471148074392</v>
      </c>
      <c r="G23">
        <f t="shared" ca="1" si="2"/>
        <v>0.26937020271032042</v>
      </c>
      <c r="H23">
        <f t="shared" ca="1" si="3"/>
        <v>1.3604587914161461</v>
      </c>
      <c r="I23">
        <v>20.895754171926107</v>
      </c>
      <c r="K23" s="2" t="s">
        <v>185</v>
      </c>
      <c r="O23">
        <f t="shared" ca="1" si="10"/>
        <v>3.9832830238517154</v>
      </c>
      <c r="P23">
        <f t="shared" ca="1" si="6"/>
        <v>2.622824</v>
      </c>
      <c r="Q23" s="27" t="s">
        <v>247</v>
      </c>
      <c r="S23">
        <f t="shared" ca="1" si="11"/>
        <v>15</v>
      </c>
      <c r="T23">
        <f t="shared" ca="1" si="12"/>
        <v>10</v>
      </c>
      <c r="U23">
        <f t="shared" ca="1" si="7"/>
        <v>5</v>
      </c>
      <c r="X23">
        <f t="shared" ca="1" si="14"/>
        <v>15</v>
      </c>
      <c r="Y23">
        <f t="shared" ca="1" si="9"/>
        <v>200</v>
      </c>
      <c r="Z23" s="2">
        <f t="shared" ca="1" si="13"/>
        <v>0</v>
      </c>
    </row>
    <row r="24" spans="1:26" x14ac:dyDescent="0.3">
      <c r="A24">
        <f t="shared" si="4"/>
        <v>16</v>
      </c>
      <c r="B24" t="s">
        <v>184</v>
      </c>
      <c r="C24">
        <f t="shared" ca="1" si="0"/>
        <v>0.98668685866867178</v>
      </c>
      <c r="D24">
        <f t="shared" ca="1" si="1"/>
        <v>1.3402555674646139E-2</v>
      </c>
      <c r="E24" s="12">
        <f t="shared" ca="1" si="5"/>
        <v>16.925873703749037</v>
      </c>
      <c r="G24">
        <f t="shared" ca="1" si="2"/>
        <v>0.5585354490357326</v>
      </c>
      <c r="H24">
        <f t="shared" ca="1" si="3"/>
        <v>0.63122735479312486</v>
      </c>
      <c r="I24">
        <v>18.201267279566558</v>
      </c>
      <c r="K24" s="2" t="s">
        <v>182</v>
      </c>
      <c r="O24">
        <f t="shared" ca="1" si="10"/>
        <v>1.275393575817521</v>
      </c>
      <c r="P24">
        <f t="shared" ca="1" si="6"/>
        <v>0.64416600000000002</v>
      </c>
      <c r="Q24" s="27" t="s">
        <v>247</v>
      </c>
      <c r="S24">
        <f t="shared" ca="1" si="11"/>
        <v>16</v>
      </c>
      <c r="T24">
        <f t="shared" ca="1" si="12"/>
        <v>10</v>
      </c>
      <c r="U24">
        <f t="shared" ca="1" si="7"/>
        <v>6</v>
      </c>
      <c r="X24">
        <f t="shared" ca="1" si="14"/>
        <v>16</v>
      </c>
      <c r="Y24">
        <f t="shared" ca="1" si="9"/>
        <v>200</v>
      </c>
      <c r="Z24" s="2">
        <f t="shared" ca="1" si="13"/>
        <v>0</v>
      </c>
    </row>
    <row r="25" spans="1:26" x14ac:dyDescent="0.3">
      <c r="A25">
        <f t="shared" si="4"/>
        <v>17</v>
      </c>
      <c r="B25" t="s">
        <v>183</v>
      </c>
      <c r="C25">
        <f t="shared" ca="1" si="0"/>
        <v>2.8626222405641055E-2</v>
      </c>
      <c r="D25">
        <f t="shared" ca="1" si="1"/>
        <v>3.5534321138923302</v>
      </c>
      <c r="E25" s="12">
        <f t="shared" ca="1" si="5"/>
        <v>20.479305817641368</v>
      </c>
      <c r="G25">
        <f t="shared" ca="1" si="2"/>
        <v>0.48058651205803282</v>
      </c>
      <c r="H25">
        <f t="shared" ca="1" si="3"/>
        <v>0.78153818504112516</v>
      </c>
      <c r="I25">
        <v>22.221350042083092</v>
      </c>
      <c r="K25" s="2" t="s">
        <v>183</v>
      </c>
      <c r="O25">
        <f t="shared" ca="1" si="10"/>
        <v>1.7420442244417238</v>
      </c>
      <c r="P25">
        <f t="shared" ca="1" si="6"/>
        <v>0.96050599999999997</v>
      </c>
      <c r="Q25" s="27" t="s">
        <v>247</v>
      </c>
      <c r="S25">
        <f t="shared" ca="1" si="11"/>
        <v>17</v>
      </c>
      <c r="T25">
        <f t="shared" ca="1" si="12"/>
        <v>14</v>
      </c>
      <c r="U25">
        <f t="shared" ca="1" si="7"/>
        <v>3</v>
      </c>
      <c r="X25">
        <f t="shared" ca="1" si="14"/>
        <v>17</v>
      </c>
      <c r="Y25">
        <f t="shared" ca="1" si="9"/>
        <v>200</v>
      </c>
      <c r="Z25" s="2">
        <f t="shared" ca="1" si="13"/>
        <v>0</v>
      </c>
    </row>
    <row r="26" spans="1:26" x14ac:dyDescent="0.3">
      <c r="A26">
        <f t="shared" si="4"/>
        <v>18</v>
      </c>
      <c r="B26" t="s">
        <v>182</v>
      </c>
      <c r="C26">
        <f t="shared" ca="1" si="0"/>
        <v>0.87804246612435077</v>
      </c>
      <c r="D26">
        <f t="shared" ca="1" si="1"/>
        <v>0.13006031963243403</v>
      </c>
      <c r="E26" s="12">
        <f t="shared" ca="1" si="5"/>
        <v>20.609366137273803</v>
      </c>
      <c r="G26">
        <f t="shared" ca="1" si="2"/>
        <v>0.60940785612105031</v>
      </c>
      <c r="H26">
        <f t="shared" ca="1" si="3"/>
        <v>0.54405768511585817</v>
      </c>
      <c r="I26">
        <v>21.439811857041967</v>
      </c>
      <c r="K26" s="2" t="s">
        <v>180</v>
      </c>
      <c r="O26">
        <f t="shared" ca="1" si="10"/>
        <v>0.83044571976816428</v>
      </c>
      <c r="P26">
        <f t="shared" ca="1" si="6"/>
        <v>0.28638799999999998</v>
      </c>
      <c r="Q26" s="27" t="s">
        <v>247</v>
      </c>
      <c r="S26">
        <f t="shared" ca="1" si="11"/>
        <v>18</v>
      </c>
      <c r="T26">
        <f t="shared" ca="1" si="12"/>
        <v>14</v>
      </c>
      <c r="U26">
        <f t="shared" ca="1" si="7"/>
        <v>4</v>
      </c>
      <c r="X26">
        <f t="shared" ca="1" si="14"/>
        <v>18</v>
      </c>
      <c r="Y26">
        <f t="shared" ca="1" si="9"/>
        <v>200</v>
      </c>
      <c r="Z26" s="2">
        <f t="shared" ca="1" si="13"/>
        <v>0</v>
      </c>
    </row>
    <row r="27" spans="1:26" x14ac:dyDescent="0.3">
      <c r="A27">
        <f t="shared" si="4"/>
        <v>19</v>
      </c>
      <c r="B27" t="s">
        <v>181</v>
      </c>
      <c r="C27">
        <f t="shared" ca="1" si="0"/>
        <v>0.62027489397412472</v>
      </c>
      <c r="D27">
        <f t="shared" ca="1" si="1"/>
        <v>0.47759252182808487</v>
      </c>
      <c r="E27" s="12">
        <f t="shared" ca="1" si="5"/>
        <v>21.086958659101889</v>
      </c>
      <c r="G27">
        <f t="shared" ca="1" si="2"/>
        <v>0.21508367886261359</v>
      </c>
      <c r="H27">
        <f t="shared" ca="1" si="3"/>
        <v>1.5855182867319852</v>
      </c>
      <c r="I27">
        <v>24.863840644777557</v>
      </c>
      <c r="K27" s="2" t="s">
        <v>181</v>
      </c>
      <c r="O27">
        <f t="shared" ca="1" si="10"/>
        <v>3.7768819856756686</v>
      </c>
      <c r="P27">
        <f t="shared" ca="1" si="6"/>
        <v>2.1913640000000001</v>
      </c>
      <c r="Q27" s="27" t="s">
        <v>247</v>
      </c>
      <c r="S27">
        <f t="shared" ca="1" si="11"/>
        <v>19</v>
      </c>
      <c r="T27">
        <f t="shared" ca="1" si="12"/>
        <v>15</v>
      </c>
      <c r="U27">
        <f t="shared" ca="1" si="7"/>
        <v>4</v>
      </c>
      <c r="X27">
        <f t="shared" ref="X27:X28" ca="1" si="15">$X26 + 1</f>
        <v>19</v>
      </c>
      <c r="Y27">
        <f t="shared" ca="1" si="9"/>
        <v>200</v>
      </c>
      <c r="Z27" s="2">
        <f t="shared" ca="1" si="13"/>
        <v>0</v>
      </c>
    </row>
    <row r="28" spans="1:26" x14ac:dyDescent="0.3">
      <c r="A28">
        <f t="shared" si="4"/>
        <v>20</v>
      </c>
      <c r="B28" t="s">
        <v>180</v>
      </c>
      <c r="C28">
        <f t="shared" ca="1" si="0"/>
        <v>0.48204241246578527</v>
      </c>
      <c r="D28">
        <f t="shared" ca="1" si="1"/>
        <v>0.7297231761350601</v>
      </c>
      <c r="E28" s="12">
        <f t="shared" ca="1" si="5"/>
        <v>21.816681835236949</v>
      </c>
      <c r="G28">
        <f t="shared" ca="1" si="2"/>
        <v>0.36488167654923731</v>
      </c>
      <c r="H28">
        <f t="shared" ca="1" si="3"/>
        <v>1.0569723159624804</v>
      </c>
      <c r="I28">
        <v>23.278322358045571</v>
      </c>
      <c r="K28" s="2" t="s">
        <v>188</v>
      </c>
      <c r="O28">
        <f t="shared" ca="1" si="10"/>
        <v>1.4616405228086222</v>
      </c>
      <c r="P28">
        <f t="shared" ca="1" si="6"/>
        <v>0.40466800000000003</v>
      </c>
      <c r="Q28" s="27" t="s">
        <v>247</v>
      </c>
      <c r="S28">
        <f t="shared" ca="1" si="11"/>
        <v>20</v>
      </c>
      <c r="T28">
        <f t="shared" ca="1" si="12"/>
        <v>16</v>
      </c>
      <c r="U28">
        <f t="shared" ca="1" si="7"/>
        <v>4</v>
      </c>
      <c r="X28">
        <f t="shared" ca="1" si="15"/>
        <v>20</v>
      </c>
      <c r="Y28">
        <f t="shared" ca="1" si="9"/>
        <v>200</v>
      </c>
      <c r="Z28" s="2">
        <f t="shared" ca="1" si="13"/>
        <v>0</v>
      </c>
    </row>
    <row r="29" spans="1:26" x14ac:dyDescent="0.3">
      <c r="A29">
        <f t="shared" si="4"/>
        <v>21</v>
      </c>
      <c r="B29" t="s">
        <v>179</v>
      </c>
      <c r="C29">
        <f t="shared" ca="1" si="0"/>
        <v>2.6458612248155378E-2</v>
      </c>
      <c r="D29">
        <f t="shared" ca="1" si="1"/>
        <v>3.6321735688303884</v>
      </c>
      <c r="E29" s="12">
        <f t="shared" ca="1" si="5"/>
        <v>25.448855404067338</v>
      </c>
      <c r="G29">
        <f t="shared" ca="1" si="2"/>
        <v>0.71347630059698608</v>
      </c>
      <c r="H29">
        <f t="shared" ca="1" si="3"/>
        <v>0.38639622248782279</v>
      </c>
      <c r="I29">
        <v>28.615296378838654</v>
      </c>
      <c r="K29" s="2" t="s">
        <v>178</v>
      </c>
      <c r="O29">
        <f t="shared" ca="1" si="10"/>
        <v>3.1664409747713158</v>
      </c>
      <c r="P29">
        <f t="shared" ca="1" si="6"/>
        <v>2.7800449999999999</v>
      </c>
      <c r="Q29" s="27" t="s">
        <v>247</v>
      </c>
      <c r="S29">
        <f t="shared" ca="1" si="11"/>
        <v>21</v>
      </c>
      <c r="T29">
        <f t="shared" ca="1" si="12"/>
        <v>19</v>
      </c>
      <c r="U29">
        <f t="shared" ca="1" si="7"/>
        <v>2</v>
      </c>
    </row>
    <row r="30" spans="1:26" x14ac:dyDescent="0.3">
      <c r="A30">
        <f t="shared" si="4"/>
        <v>22</v>
      </c>
      <c r="B30" t="s">
        <v>178</v>
      </c>
      <c r="C30">
        <f t="shared" ca="1" si="0"/>
        <v>0.55321252760433526</v>
      </c>
      <c r="D30">
        <f t="shared" ca="1" si="1"/>
        <v>0.59201303374234882</v>
      </c>
      <c r="E30" s="12">
        <f t="shared" ca="1" si="5"/>
        <v>26.040868437809685</v>
      </c>
      <c r="G30">
        <f t="shared" ca="1" si="2"/>
        <v>0.81451274737623003</v>
      </c>
      <c r="H30">
        <f t="shared" ca="1" si="3"/>
        <v>0.25395536467794155</v>
      </c>
      <c r="I30">
        <v>27.96736105859345</v>
      </c>
      <c r="K30" s="2" t="s">
        <v>177</v>
      </c>
      <c r="O30">
        <f t="shared" ca="1" si="10"/>
        <v>1.9264926207837654</v>
      </c>
      <c r="P30">
        <f t="shared" ca="1" si="6"/>
        <v>1.6725369999999999</v>
      </c>
      <c r="Q30" s="27" t="s">
        <v>247</v>
      </c>
      <c r="S30">
        <f t="shared" ca="1" si="11"/>
        <v>22</v>
      </c>
      <c r="T30">
        <f t="shared" ca="1" si="12"/>
        <v>19</v>
      </c>
      <c r="U30">
        <f t="shared" ca="1" si="7"/>
        <v>3</v>
      </c>
      <c r="Y30" s="10" t="s">
        <v>227</v>
      </c>
      <c r="Z30" s="10">
        <f ca="1">SUM($Z$9:$Z$28)</f>
        <v>1</v>
      </c>
    </row>
    <row r="31" spans="1:26" x14ac:dyDescent="0.3">
      <c r="A31">
        <f t="shared" si="4"/>
        <v>23</v>
      </c>
      <c r="B31" t="s">
        <v>177</v>
      </c>
      <c r="C31">
        <f t="shared" ca="1" si="0"/>
        <v>0.20568872887820455</v>
      </c>
      <c r="D31">
        <f t="shared" ca="1" si="1"/>
        <v>1.5813912778050025</v>
      </c>
      <c r="E31" s="12">
        <f t="shared" ca="1" si="5"/>
        <v>27.622259715614689</v>
      </c>
      <c r="G31">
        <f t="shared" ca="1" si="2"/>
        <v>0.80835906355116416</v>
      </c>
      <c r="H31">
        <f t="shared" ca="1" si="3"/>
        <v>0.2615390977573806</v>
      </c>
      <c r="I31">
        <v>28.228900156350832</v>
      </c>
      <c r="K31" s="2" t="s">
        <v>179</v>
      </c>
      <c r="O31">
        <f t="shared" ca="1" si="10"/>
        <v>0.6066404407361432</v>
      </c>
      <c r="P31">
        <f t="shared" ca="1" si="6"/>
        <v>0.34510099999999999</v>
      </c>
      <c r="Q31" s="27" t="s">
        <v>247</v>
      </c>
      <c r="S31">
        <f t="shared" ca="1" si="11"/>
        <v>23</v>
      </c>
      <c r="T31">
        <f t="shared" ca="1" si="12"/>
        <v>19</v>
      </c>
      <c r="U31">
        <f t="shared" ca="1" si="7"/>
        <v>4</v>
      </c>
    </row>
    <row r="32" spans="1:26" x14ac:dyDescent="0.3">
      <c r="A32">
        <f t="shared" si="4"/>
        <v>24</v>
      </c>
      <c r="B32" t="s">
        <v>176</v>
      </c>
      <c r="C32">
        <f t="shared" ca="1" si="0"/>
        <v>0.81959894455047688</v>
      </c>
      <c r="D32">
        <f t="shared" ca="1" si="1"/>
        <v>0.19894015037996277</v>
      </c>
      <c r="E32" s="12">
        <f t="shared" ca="1" si="5"/>
        <v>27.82119986599465</v>
      </c>
      <c r="G32">
        <f t="shared" ca="1" si="2"/>
        <v>0.37545388543138081</v>
      </c>
      <c r="H32">
        <f t="shared" ca="1" si="3"/>
        <v>1.0284097879273535</v>
      </c>
      <c r="I32">
        <v>29.643706166766009</v>
      </c>
      <c r="K32" s="2" t="s">
        <v>176</v>
      </c>
      <c r="O32">
        <f t="shared" ca="1" si="10"/>
        <v>1.8225063007713587</v>
      </c>
      <c r="P32">
        <f t="shared" ca="1" si="6"/>
        <v>0.79409700000000005</v>
      </c>
      <c r="Q32" s="27" t="s">
        <v>247</v>
      </c>
      <c r="S32">
        <f t="shared" ca="1" si="11"/>
        <v>24</v>
      </c>
      <c r="T32">
        <f t="shared" ca="1" si="12"/>
        <v>20</v>
      </c>
      <c r="U32">
        <f t="shared" ca="1" si="7"/>
        <v>4</v>
      </c>
    </row>
    <row r="33" spans="1:21" x14ac:dyDescent="0.3">
      <c r="A33">
        <f t="shared" si="4"/>
        <v>25</v>
      </c>
      <c r="B33" t="s">
        <v>175</v>
      </c>
      <c r="C33">
        <f t="shared" ca="1" si="0"/>
        <v>0.26244816731135845</v>
      </c>
      <c r="D33">
        <f t="shared" ca="1" si="1"/>
        <v>1.3377016743093204</v>
      </c>
      <c r="E33" s="12">
        <f t="shared" ca="1" si="5"/>
        <v>29.158901540303972</v>
      </c>
      <c r="G33">
        <f t="shared" ca="1" si="2"/>
        <v>0.53946617441000655</v>
      </c>
      <c r="H33">
        <f t="shared" ca="1" si="3"/>
        <v>0.66596535845418936</v>
      </c>
      <c r="I33">
        <v>30.3096715252202</v>
      </c>
      <c r="K33" s="2" t="s">
        <v>175</v>
      </c>
      <c r="O33">
        <f t="shared" ca="1" si="10"/>
        <v>1.1507699849162272</v>
      </c>
      <c r="P33">
        <f t="shared" ca="1" si="6"/>
        <v>0.48480499999999999</v>
      </c>
      <c r="Q33" s="27" t="s">
        <v>247</v>
      </c>
      <c r="S33">
        <f t="shared" ca="1" si="11"/>
        <v>25</v>
      </c>
      <c r="T33">
        <f t="shared" ca="1" si="12"/>
        <v>23</v>
      </c>
      <c r="U33">
        <f t="shared" ca="1" si="7"/>
        <v>2</v>
      </c>
    </row>
    <row r="34" spans="1:21" x14ac:dyDescent="0.3">
      <c r="A34">
        <f t="shared" si="4"/>
        <v>26</v>
      </c>
      <c r="B34" t="s">
        <v>174</v>
      </c>
      <c r="C34">
        <f t="shared" ca="1" si="0"/>
        <v>0.51545571612177488</v>
      </c>
      <c r="D34">
        <f t="shared" ca="1" si="1"/>
        <v>0.66270388392557045</v>
      </c>
      <c r="E34" s="12">
        <f t="shared" ca="1" si="5"/>
        <v>29.821605424229542</v>
      </c>
      <c r="G34">
        <f t="shared" ca="1" si="2"/>
        <v>0.44001142696703122</v>
      </c>
      <c r="H34">
        <f t="shared" ca="1" si="3"/>
        <v>0.86974474619687037</v>
      </c>
      <c r="I34">
        <v>31.179416271417068</v>
      </c>
      <c r="K34" s="2" t="s">
        <v>174</v>
      </c>
      <c r="O34">
        <f t="shared" ca="1" si="10"/>
        <v>1.3578108471875261</v>
      </c>
      <c r="P34">
        <f t="shared" ca="1" si="6"/>
        <v>0.488066</v>
      </c>
      <c r="Q34" s="27" t="s">
        <v>247</v>
      </c>
      <c r="S34">
        <f t="shared" ca="1" si="11"/>
        <v>26</v>
      </c>
      <c r="T34">
        <f t="shared" ca="1" si="12"/>
        <v>24</v>
      </c>
      <c r="U34">
        <f t="shared" ca="1" si="7"/>
        <v>2</v>
      </c>
    </row>
    <row r="35" spans="1:21" x14ac:dyDescent="0.3">
      <c r="A35">
        <f t="shared" si="4"/>
        <v>27</v>
      </c>
      <c r="B35" t="s">
        <v>173</v>
      </c>
      <c r="C35">
        <f t="shared" ca="1" si="0"/>
        <v>0.28281090603782166</v>
      </c>
      <c r="D35">
        <f t="shared" ca="1" si="1"/>
        <v>1.2629767812131345</v>
      </c>
      <c r="E35" s="12">
        <f t="shared" ca="1" si="5"/>
        <v>31.084582205442675</v>
      </c>
      <c r="G35">
        <f t="shared" ca="1" si="2"/>
        <v>0.46517385319080329</v>
      </c>
      <c r="H35">
        <f t="shared" ca="1" si="3"/>
        <v>0.81413422960942816</v>
      </c>
      <c r="I35">
        <v>31.993550501026498</v>
      </c>
      <c r="K35" s="2" t="s">
        <v>173</v>
      </c>
      <c r="O35">
        <f t="shared" ca="1" si="10"/>
        <v>0.90896829558382208</v>
      </c>
      <c r="P35">
        <f t="shared" ca="1" si="6"/>
        <v>9.4834000000000002E-2</v>
      </c>
      <c r="Q35" s="27" t="s">
        <v>247</v>
      </c>
      <c r="S35">
        <f t="shared" ca="1" si="11"/>
        <v>27</v>
      </c>
      <c r="T35">
        <f t="shared" ca="1" si="12"/>
        <v>25</v>
      </c>
      <c r="U35">
        <f t="shared" ca="1" si="7"/>
        <v>2</v>
      </c>
    </row>
    <row r="36" spans="1:21" x14ac:dyDescent="0.3">
      <c r="A36">
        <f t="shared" si="4"/>
        <v>28</v>
      </c>
      <c r="B36" t="s">
        <v>172</v>
      </c>
      <c r="C36">
        <f t="shared" ca="1" si="0"/>
        <v>0.23334692305291571</v>
      </c>
      <c r="D36">
        <f t="shared" ca="1" si="1"/>
        <v>1.4552289926474684</v>
      </c>
      <c r="E36" s="12">
        <f t="shared" ca="1" si="5"/>
        <v>32.539811198090142</v>
      </c>
      <c r="G36">
        <f t="shared" ca="1" si="2"/>
        <v>0.93909151655342404</v>
      </c>
      <c r="H36">
        <f t="shared" ca="1" si="3"/>
        <v>0.11163250697415447</v>
      </c>
      <c r="I36">
        <v>32.651443705064295</v>
      </c>
      <c r="K36" s="2" t="s">
        <v>172</v>
      </c>
      <c r="O36">
        <f t="shared" ca="1" si="10"/>
        <v>0.1116325069741535</v>
      </c>
      <c r="P36">
        <f t="shared" ca="1" si="6"/>
        <v>0</v>
      </c>
      <c r="Q36" s="27" t="s">
        <v>247</v>
      </c>
      <c r="S36">
        <f t="shared" ca="1" si="11"/>
        <v>28</v>
      </c>
      <c r="T36">
        <f t="shared" ca="1" si="12"/>
        <v>27</v>
      </c>
      <c r="U36">
        <f t="shared" ca="1" si="7"/>
        <v>1</v>
      </c>
    </row>
    <row r="37" spans="1:21" x14ac:dyDescent="0.3">
      <c r="A37">
        <f t="shared" si="4"/>
        <v>29</v>
      </c>
      <c r="B37" t="s">
        <v>171</v>
      </c>
      <c r="C37">
        <f t="shared" ca="1" si="0"/>
        <v>0.72321740105354548</v>
      </c>
      <c r="D37">
        <f t="shared" ca="1" si="1"/>
        <v>0.32404540900233986</v>
      </c>
      <c r="E37" s="12">
        <f t="shared" ca="1" si="5"/>
        <v>32.86385660709248</v>
      </c>
      <c r="G37">
        <f t="shared" ca="1" si="2"/>
        <v>0.7566729872070419</v>
      </c>
      <c r="H37">
        <f t="shared" ca="1" si="3"/>
        <v>0.32761426824205792</v>
      </c>
      <c r="I37">
        <v>33.191470875334538</v>
      </c>
      <c r="K37" s="2" t="s">
        <v>171</v>
      </c>
      <c r="O37">
        <f t="shared" ca="1" si="10"/>
        <v>0.32761426824205842</v>
      </c>
      <c r="P37">
        <f t="shared" ca="1" si="6"/>
        <v>0</v>
      </c>
      <c r="Q37" s="27" t="s">
        <v>247</v>
      </c>
      <c r="S37">
        <f t="shared" ca="1" si="11"/>
        <v>29</v>
      </c>
      <c r="T37">
        <f t="shared" ca="1" si="12"/>
        <v>28</v>
      </c>
      <c r="U37">
        <f t="shared" ca="1" si="7"/>
        <v>1</v>
      </c>
    </row>
    <row r="38" spans="1:21" x14ac:dyDescent="0.3">
      <c r="A38">
        <f t="shared" si="4"/>
        <v>30</v>
      </c>
      <c r="B38" t="s">
        <v>170</v>
      </c>
      <c r="C38">
        <f t="shared" ca="1" si="0"/>
        <v>8.630919669360837E-2</v>
      </c>
      <c r="D38">
        <f t="shared" ca="1" si="1"/>
        <v>2.449819120016588</v>
      </c>
      <c r="E38" s="12">
        <f t="shared" ca="1" si="5"/>
        <v>35.313675727109064</v>
      </c>
      <c r="G38">
        <f t="shared" ca="1" si="2"/>
        <v>0.74236238356824402</v>
      </c>
      <c r="H38">
        <f t="shared" ca="1" si="3"/>
        <v>0.34670793164829561</v>
      </c>
      <c r="I38">
        <v>35.660383658757361</v>
      </c>
      <c r="K38" s="2" t="s">
        <v>170</v>
      </c>
      <c r="O38">
        <f t="shared" ca="1" si="10"/>
        <v>0.34670793164829661</v>
      </c>
      <c r="P38">
        <f t="shared" ca="1" si="6"/>
        <v>0</v>
      </c>
      <c r="Q38" s="27" t="s">
        <v>247</v>
      </c>
      <c r="S38">
        <f t="shared" ca="1" si="11"/>
        <v>30</v>
      </c>
      <c r="T38">
        <f t="shared" ca="1" si="12"/>
        <v>29</v>
      </c>
      <c r="U38">
        <f t="shared" ca="1" si="7"/>
        <v>1</v>
      </c>
    </row>
    <row r="39" spans="1:21" x14ac:dyDescent="0.3">
      <c r="A39">
        <f t="shared" si="4"/>
        <v>31</v>
      </c>
      <c r="B39" t="s">
        <v>169</v>
      </c>
      <c r="C39">
        <f t="shared" ca="1" si="0"/>
        <v>0.48267770140758748</v>
      </c>
      <c r="D39">
        <f t="shared" ca="1" si="1"/>
        <v>0.72840613293362289</v>
      </c>
      <c r="E39" s="12">
        <f t="shared" ca="1" si="5"/>
        <v>36.042081860042686</v>
      </c>
      <c r="G39">
        <f t="shared" ca="1" si="2"/>
        <v>9.7619817980281409E-2</v>
      </c>
      <c r="H39">
        <f t="shared" ca="1" si="3"/>
        <v>2.3754649172683542</v>
      </c>
      <c r="I39">
        <v>38.417546777311038</v>
      </c>
      <c r="K39" s="2" t="s">
        <v>169</v>
      </c>
      <c r="O39">
        <f t="shared" ca="1" si="10"/>
        <v>2.3754649172683528</v>
      </c>
      <c r="P39">
        <f t="shared" ca="1" si="6"/>
        <v>0</v>
      </c>
      <c r="Q39" s="27" t="s">
        <v>247</v>
      </c>
      <c r="S39">
        <f t="shared" ca="1" si="11"/>
        <v>31</v>
      </c>
      <c r="T39">
        <f t="shared" ca="1" si="12"/>
        <v>30</v>
      </c>
      <c r="U39">
        <f t="shared" ca="1" si="7"/>
        <v>1</v>
      </c>
    </row>
    <row r="40" spans="1:21" x14ac:dyDescent="0.3">
      <c r="A40">
        <f t="shared" si="4"/>
        <v>32</v>
      </c>
      <c r="B40" t="s">
        <v>168</v>
      </c>
      <c r="C40">
        <f t="shared" ca="1" si="0"/>
        <v>0.97759764949921168</v>
      </c>
      <c r="D40">
        <f t="shared" ca="1" si="1"/>
        <v>2.2657094926113501E-2</v>
      </c>
      <c r="E40" s="12">
        <f t="shared" ca="1" si="5"/>
        <v>36.064738954968796</v>
      </c>
      <c r="G40">
        <f t="shared" ca="1" si="2"/>
        <v>0.11765553608463164</v>
      </c>
      <c r="H40">
        <f t="shared" ca="1" si="3"/>
        <v>2.1887842735422947</v>
      </c>
      <c r="I40">
        <v>49.229838388720381</v>
      </c>
      <c r="K40" s="2" t="s">
        <v>167</v>
      </c>
      <c r="O40">
        <f t="shared" ca="1" si="10"/>
        <v>13.165099433751585</v>
      </c>
      <c r="P40">
        <f t="shared" ca="1" si="6"/>
        <v>10.976315</v>
      </c>
      <c r="Q40" s="27" t="s">
        <v>247</v>
      </c>
      <c r="S40">
        <f t="shared" ca="1" si="11"/>
        <v>32</v>
      </c>
      <c r="T40">
        <f t="shared" ca="1" si="12"/>
        <v>30</v>
      </c>
      <c r="U40">
        <f t="shared" ca="1" si="7"/>
        <v>2</v>
      </c>
    </row>
    <row r="41" spans="1:21" x14ac:dyDescent="0.3">
      <c r="A41">
        <f t="shared" si="4"/>
        <v>33</v>
      </c>
      <c r="B41" t="s">
        <v>167</v>
      </c>
      <c r="C41">
        <f t="shared" ca="1" si="0"/>
        <v>0.76547141076995373</v>
      </c>
      <c r="D41">
        <f t="shared" ref="D41:D72" ca="1" si="16">-LN($C41)*$E$2</f>
        <v>0.26726341171447365</v>
      </c>
      <c r="E41" s="12">
        <f t="shared" ca="1" si="5"/>
        <v>36.33200236668327</v>
      </c>
      <c r="G41">
        <f t="shared" ca="1" si="2"/>
        <v>0.21012415273866458</v>
      </c>
      <c r="H41">
        <f t="shared" ref="H41:H72" ca="1" si="17">-LN($G41*$I$2)</f>
        <v>1.6088468836086005</v>
      </c>
      <c r="I41">
        <v>40.026393660919638</v>
      </c>
      <c r="K41" s="2" t="s">
        <v>163</v>
      </c>
      <c r="O41">
        <f t="shared" ref="O41:O72" ca="1" si="18">$I41-$E41</f>
        <v>3.6943912942363681</v>
      </c>
      <c r="P41">
        <f t="shared" ref="P41:P72" ca="1" si="19">MAX(0, ROUND($O41-$H41, 6))</f>
        <v>2.0855440000000001</v>
      </c>
      <c r="Q41" s="27" t="s">
        <v>247</v>
      </c>
      <c r="S41">
        <f t="shared" ref="S41:S72" ca="1" si="20">COUNTIF($E$9:$E$208, "&lt;=" &amp;$E41)</f>
        <v>33</v>
      </c>
      <c r="T41">
        <f t="shared" ref="T41:T72" ca="1" si="21">COUNTIF($I$9:$I$208, "&lt;=" &amp;$E41)</f>
        <v>30</v>
      </c>
      <c r="U41">
        <f t="shared" ref="U41:U72" ca="1" si="22">$S41-$T41</f>
        <v>3</v>
      </c>
    </row>
    <row r="42" spans="1:21" x14ac:dyDescent="0.3">
      <c r="A42">
        <f t="shared" si="4"/>
        <v>34</v>
      </c>
      <c r="B42" t="s">
        <v>166</v>
      </c>
      <c r="C42">
        <f t="shared" ca="1" si="0"/>
        <v>0.82553962835603656</v>
      </c>
      <c r="D42">
        <f t="shared" ca="1" si="16"/>
        <v>0.19171801149732456</v>
      </c>
      <c r="E42" s="12">
        <f t="shared" ca="1" si="5"/>
        <v>36.523720378180592</v>
      </c>
      <c r="G42">
        <f t="shared" ca="1" si="2"/>
        <v>0.14390146695992523</v>
      </c>
      <c r="H42">
        <f t="shared" ca="1" si="17"/>
        <v>1.9874166350091298</v>
      </c>
      <c r="I42">
        <v>46.430179428408678</v>
      </c>
      <c r="K42" s="2" t="s">
        <v>162</v>
      </c>
      <c r="O42">
        <f t="shared" ca="1" si="18"/>
        <v>9.9064590502280865</v>
      </c>
      <c r="P42">
        <f t="shared" ca="1" si="19"/>
        <v>7.9190420000000001</v>
      </c>
      <c r="Q42" s="27" t="s">
        <v>247</v>
      </c>
      <c r="S42">
        <f t="shared" ca="1" si="20"/>
        <v>34</v>
      </c>
      <c r="T42">
        <f t="shared" ca="1" si="21"/>
        <v>30</v>
      </c>
      <c r="U42">
        <f t="shared" ca="1" si="22"/>
        <v>4</v>
      </c>
    </row>
    <row r="43" spans="1:21" x14ac:dyDescent="0.3">
      <c r="A43">
        <f t="shared" si="4"/>
        <v>35</v>
      </c>
      <c r="B43" t="s">
        <v>165</v>
      </c>
      <c r="C43">
        <f t="shared" ca="1" si="0"/>
        <v>0.2416499813459132</v>
      </c>
      <c r="D43">
        <f t="shared" ca="1" si="16"/>
        <v>1.4202649578856954</v>
      </c>
      <c r="E43" s="12">
        <f t="shared" ca="1" si="5"/>
        <v>37.943985336066284</v>
      </c>
      <c r="G43">
        <f t="shared" ca="1" si="2"/>
        <v>0.16386063540925611</v>
      </c>
      <c r="H43">
        <f t="shared" ca="1" si="17"/>
        <v>1.857529160688455</v>
      </c>
      <c r="I43">
        <v>44.442762793399545</v>
      </c>
      <c r="K43" s="2" t="s">
        <v>161</v>
      </c>
      <c r="O43">
        <f t="shared" ca="1" si="18"/>
        <v>6.4987774573332615</v>
      </c>
      <c r="P43">
        <f t="shared" ca="1" si="19"/>
        <v>4.641248</v>
      </c>
      <c r="Q43" s="27" t="s">
        <v>247</v>
      </c>
      <c r="S43">
        <f t="shared" ca="1" si="20"/>
        <v>35</v>
      </c>
      <c r="T43">
        <f t="shared" ca="1" si="21"/>
        <v>30</v>
      </c>
      <c r="U43">
        <f t="shared" ca="1" si="22"/>
        <v>5</v>
      </c>
    </row>
    <row r="44" spans="1:21" x14ac:dyDescent="0.3">
      <c r="A44">
        <f t="shared" si="4"/>
        <v>36</v>
      </c>
      <c r="B44" t="s">
        <v>164</v>
      </c>
      <c r="C44">
        <f t="shared" ca="1" si="0"/>
        <v>0.45977321748236455</v>
      </c>
      <c r="D44">
        <f t="shared" ca="1" si="16"/>
        <v>0.77702191653927233</v>
      </c>
      <c r="E44" s="12">
        <f t="shared" ca="1" si="5"/>
        <v>38.721007252605553</v>
      </c>
      <c r="G44">
        <f t="shared" ca="1" si="2"/>
        <v>8.5533000018118699E-3</v>
      </c>
      <c r="H44">
        <f t="shared" ca="1" si="17"/>
        <v>4.8102282695440834</v>
      </c>
      <c r="I44">
        <v>78.497971142827225</v>
      </c>
      <c r="K44" s="2" t="s">
        <v>160</v>
      </c>
      <c r="O44">
        <f t="shared" ca="1" si="18"/>
        <v>39.776963890221673</v>
      </c>
      <c r="P44">
        <f t="shared" ca="1" si="19"/>
        <v>34.966735999999997</v>
      </c>
      <c r="Q44" s="27" t="s">
        <v>247</v>
      </c>
      <c r="S44">
        <f t="shared" ca="1" si="20"/>
        <v>36</v>
      </c>
      <c r="T44">
        <f t="shared" ca="1" si="21"/>
        <v>31</v>
      </c>
      <c r="U44">
        <f t="shared" ca="1" si="22"/>
        <v>5</v>
      </c>
    </row>
    <row r="45" spans="1:21" x14ac:dyDescent="0.3">
      <c r="A45">
        <f t="shared" si="4"/>
        <v>37</v>
      </c>
      <c r="B45" t="s">
        <v>163</v>
      </c>
      <c r="C45">
        <f t="shared" ca="1" si="0"/>
        <v>0.92834365307107602</v>
      </c>
      <c r="D45">
        <f t="shared" ca="1" si="16"/>
        <v>7.4353298936563741E-2</v>
      </c>
      <c r="E45" s="12">
        <f t="shared" ca="1" si="5"/>
        <v>38.795360551542117</v>
      </c>
      <c r="G45">
        <f t="shared" ca="1" si="2"/>
        <v>0.90679596264933926</v>
      </c>
      <c r="H45">
        <f t="shared" ca="1" si="17"/>
        <v>0.14662797683364343</v>
      </c>
      <c r="I45">
        <v>40.17302163775328</v>
      </c>
      <c r="K45" s="2" t="s">
        <v>165</v>
      </c>
      <c r="O45">
        <f t="shared" ca="1" si="18"/>
        <v>1.3776610862111625</v>
      </c>
      <c r="P45">
        <f t="shared" ca="1" si="19"/>
        <v>1.231033</v>
      </c>
      <c r="Q45" s="27" t="s">
        <v>247</v>
      </c>
      <c r="S45">
        <f t="shared" ca="1" si="20"/>
        <v>37</v>
      </c>
      <c r="T45">
        <f t="shared" ca="1" si="21"/>
        <v>31</v>
      </c>
      <c r="U45">
        <f t="shared" ca="1" si="22"/>
        <v>6</v>
      </c>
    </row>
    <row r="46" spans="1:21" x14ac:dyDescent="0.3">
      <c r="A46">
        <f t="shared" si="4"/>
        <v>38</v>
      </c>
      <c r="B46" t="s">
        <v>162</v>
      </c>
      <c r="C46">
        <f t="shared" ca="1" si="0"/>
        <v>0.79850715822677476</v>
      </c>
      <c r="D46">
        <f t="shared" ca="1" si="16"/>
        <v>0.22501134677517304</v>
      </c>
      <c r="E46" s="12">
        <f t="shared" ca="1" si="5"/>
        <v>39.020371898317293</v>
      </c>
      <c r="G46">
        <f t="shared" ca="1" si="2"/>
        <v>0.59646830405162765</v>
      </c>
      <c r="H46">
        <f t="shared" ca="1" si="17"/>
        <v>0.56551933956918721</v>
      </c>
      <c r="I46">
        <v>40.738540977322465</v>
      </c>
      <c r="K46" s="2" t="s">
        <v>166</v>
      </c>
      <c r="O46">
        <f t="shared" ca="1" si="18"/>
        <v>1.7181690790051718</v>
      </c>
      <c r="P46">
        <f t="shared" ca="1" si="19"/>
        <v>1.15265</v>
      </c>
      <c r="Q46" s="27" t="s">
        <v>247</v>
      </c>
      <c r="S46">
        <f t="shared" ca="1" si="20"/>
        <v>38</v>
      </c>
      <c r="T46">
        <f t="shared" ca="1" si="21"/>
        <v>31</v>
      </c>
      <c r="U46">
        <f t="shared" ca="1" si="22"/>
        <v>7</v>
      </c>
    </row>
    <row r="47" spans="1:21" x14ac:dyDescent="0.3">
      <c r="A47">
        <f t="shared" si="4"/>
        <v>39</v>
      </c>
      <c r="B47" t="s">
        <v>161</v>
      </c>
      <c r="C47">
        <f t="shared" ca="1" si="0"/>
        <v>0.29647478353902235</v>
      </c>
      <c r="D47">
        <f t="shared" ca="1" si="16"/>
        <v>1.2157931112469933</v>
      </c>
      <c r="E47" s="12">
        <f t="shared" ca="1" si="5"/>
        <v>40.236165009564289</v>
      </c>
      <c r="G47">
        <f t="shared" ca="1" si="2"/>
        <v>0.19949921774573254</v>
      </c>
      <c r="H47">
        <f t="shared" ca="1" si="17"/>
        <v>1.6607351279033609</v>
      </c>
      <c r="I47">
        <v>42.399276105225823</v>
      </c>
      <c r="K47" s="2" t="s">
        <v>159</v>
      </c>
      <c r="O47">
        <f t="shared" ca="1" si="18"/>
        <v>2.1631110956615345</v>
      </c>
      <c r="P47">
        <f t="shared" ca="1" si="19"/>
        <v>0.50237600000000004</v>
      </c>
      <c r="Q47" s="27" t="s">
        <v>247</v>
      </c>
      <c r="S47">
        <f t="shared" ca="1" si="20"/>
        <v>39</v>
      </c>
      <c r="T47">
        <f t="shared" ca="1" si="21"/>
        <v>33</v>
      </c>
      <c r="U47">
        <f t="shared" ca="1" si="22"/>
        <v>6</v>
      </c>
    </row>
    <row r="48" spans="1:21" x14ac:dyDescent="0.3">
      <c r="A48">
        <f t="shared" si="4"/>
        <v>40</v>
      </c>
      <c r="B48" t="s">
        <v>160</v>
      </c>
      <c r="C48">
        <f t="shared" ca="1" si="0"/>
        <v>0.35773109920825663</v>
      </c>
      <c r="D48">
        <f t="shared" ca="1" si="16"/>
        <v>1.0279736943430557</v>
      </c>
      <c r="E48" s="12">
        <f t="shared" ca="1" si="5"/>
        <v>41.264138703907342</v>
      </c>
      <c r="G48">
        <f t="shared" ca="1" si="2"/>
        <v>0.87182430251522691</v>
      </c>
      <c r="H48">
        <f t="shared" ca="1" si="17"/>
        <v>0.18595752748526523</v>
      </c>
      <c r="I48">
        <v>42.585233632711088</v>
      </c>
      <c r="K48" s="2" t="s">
        <v>168</v>
      </c>
      <c r="O48">
        <f t="shared" ca="1" si="18"/>
        <v>1.3210949288037455</v>
      </c>
      <c r="P48">
        <f t="shared" ca="1" si="19"/>
        <v>1.1351370000000001</v>
      </c>
      <c r="Q48" s="27" t="s">
        <v>247</v>
      </c>
      <c r="S48">
        <f t="shared" ca="1" si="20"/>
        <v>40</v>
      </c>
      <c r="T48">
        <f t="shared" ca="1" si="21"/>
        <v>34</v>
      </c>
      <c r="U48">
        <f t="shared" ca="1" si="22"/>
        <v>6</v>
      </c>
    </row>
    <row r="49" spans="1:21" x14ac:dyDescent="0.3">
      <c r="A49">
        <f t="shared" si="4"/>
        <v>41</v>
      </c>
      <c r="B49" t="s">
        <v>159</v>
      </c>
      <c r="C49">
        <f t="shared" ca="1" si="0"/>
        <v>1.5290569988167357E-2</v>
      </c>
      <c r="D49">
        <f t="shared" ca="1" si="16"/>
        <v>4.1805189812423782</v>
      </c>
      <c r="E49" s="12">
        <f t="shared" ca="1" si="5"/>
        <v>45.444657685149721</v>
      </c>
      <c r="G49">
        <f t="shared" ca="1" si="2"/>
        <v>0.5700196058027065</v>
      </c>
      <c r="H49">
        <f t="shared" ca="1" si="17"/>
        <v>0.61087468676940793</v>
      </c>
      <c r="I49">
        <v>47.041054115178085</v>
      </c>
      <c r="K49" s="2" t="s">
        <v>156</v>
      </c>
      <c r="O49">
        <f t="shared" ca="1" si="18"/>
        <v>1.5963964300283635</v>
      </c>
      <c r="P49">
        <f t="shared" ca="1" si="19"/>
        <v>0.98552200000000001</v>
      </c>
      <c r="Q49" s="27" t="s">
        <v>247</v>
      </c>
      <c r="S49">
        <f t="shared" ca="1" si="20"/>
        <v>41</v>
      </c>
      <c r="T49">
        <f t="shared" ca="1" si="21"/>
        <v>37</v>
      </c>
      <c r="U49">
        <f t="shared" ca="1" si="22"/>
        <v>4</v>
      </c>
    </row>
    <row r="50" spans="1:21" x14ac:dyDescent="0.3">
      <c r="A50">
        <f t="shared" si="4"/>
        <v>42</v>
      </c>
      <c r="B50" t="s">
        <v>158</v>
      </c>
      <c r="C50">
        <f t="shared" ca="1" si="0"/>
        <v>0.15940893531851552</v>
      </c>
      <c r="D50">
        <f t="shared" ca="1" si="16"/>
        <v>1.836282458246562</v>
      </c>
      <c r="E50" s="12">
        <f t="shared" ca="1" si="5"/>
        <v>47.280940143396286</v>
      </c>
      <c r="G50">
        <f t="shared" ca="1" si="2"/>
        <v>0.69886250333617383</v>
      </c>
      <c r="H50">
        <f t="shared" ca="1" si="17"/>
        <v>0.40709142507902857</v>
      </c>
      <c r="I50">
        <v>49.71433673776253</v>
      </c>
      <c r="K50" s="2" t="s">
        <v>158</v>
      </c>
      <c r="O50">
        <f t="shared" ca="1" si="18"/>
        <v>2.4333965943662434</v>
      </c>
      <c r="P50">
        <f t="shared" ca="1" si="19"/>
        <v>2.0263049999999998</v>
      </c>
      <c r="Q50" s="27" t="s">
        <v>247</v>
      </c>
      <c r="S50">
        <f t="shared" ca="1" si="20"/>
        <v>42</v>
      </c>
      <c r="T50">
        <f t="shared" ca="1" si="21"/>
        <v>39</v>
      </c>
      <c r="U50">
        <f t="shared" ca="1" si="22"/>
        <v>3</v>
      </c>
    </row>
    <row r="51" spans="1:21" x14ac:dyDescent="0.3">
      <c r="A51">
        <f t="shared" si="4"/>
        <v>43</v>
      </c>
      <c r="B51" t="s">
        <v>157</v>
      </c>
      <c r="C51">
        <f t="shared" ca="1" si="0"/>
        <v>0.92081459591702941</v>
      </c>
      <c r="D51">
        <f t="shared" ca="1" si="16"/>
        <v>8.2496570356666396E-2</v>
      </c>
      <c r="E51" s="12">
        <f t="shared" ca="1" si="5"/>
        <v>47.363436713752954</v>
      </c>
      <c r="G51">
        <f t="shared" ca="1" si="2"/>
        <v>0.18293781351740168</v>
      </c>
      <c r="H51">
        <f t="shared" ca="1" si="17"/>
        <v>1.7473991649057752</v>
      </c>
      <c r="I51">
        <v>57.058090939440852</v>
      </c>
      <c r="K51" s="2" t="s">
        <v>153</v>
      </c>
      <c r="O51">
        <f t="shared" ca="1" si="18"/>
        <v>9.6946542256878985</v>
      </c>
      <c r="P51">
        <f t="shared" ca="1" si="19"/>
        <v>7.9472550000000002</v>
      </c>
      <c r="Q51" s="27" t="s">
        <v>247</v>
      </c>
      <c r="S51">
        <f t="shared" ca="1" si="20"/>
        <v>43</v>
      </c>
      <c r="T51">
        <f t="shared" ca="1" si="21"/>
        <v>39</v>
      </c>
      <c r="U51">
        <f t="shared" ca="1" si="22"/>
        <v>4</v>
      </c>
    </row>
    <row r="52" spans="1:21" x14ac:dyDescent="0.3">
      <c r="A52">
        <f t="shared" si="4"/>
        <v>44</v>
      </c>
      <c r="B52" t="s">
        <v>156</v>
      </c>
      <c r="C52">
        <f t="shared" ca="1" si="0"/>
        <v>0.5929065134216881</v>
      </c>
      <c r="D52">
        <f t="shared" ca="1" si="16"/>
        <v>0.52271854262889073</v>
      </c>
      <c r="E52" s="12">
        <f t="shared" ca="1" si="5"/>
        <v>47.886155256381848</v>
      </c>
      <c r="G52">
        <f t="shared" ca="1" si="2"/>
        <v>0.97178882165943103</v>
      </c>
      <c r="H52">
        <f t="shared" ca="1" si="17"/>
        <v>7.740692396311713E-2</v>
      </c>
      <c r="I52">
        <v>49.307245312683499</v>
      </c>
      <c r="K52" s="2" t="s">
        <v>155</v>
      </c>
      <c r="O52">
        <f t="shared" ca="1" si="18"/>
        <v>1.4210900563016509</v>
      </c>
      <c r="P52">
        <f t="shared" ca="1" si="19"/>
        <v>1.343683</v>
      </c>
      <c r="Q52" s="27" t="s">
        <v>247</v>
      </c>
      <c r="S52">
        <f t="shared" ca="1" si="20"/>
        <v>44</v>
      </c>
      <c r="T52">
        <f t="shared" ca="1" si="21"/>
        <v>39</v>
      </c>
      <c r="U52">
        <f t="shared" ca="1" si="22"/>
        <v>5</v>
      </c>
    </row>
    <row r="53" spans="1:21" x14ac:dyDescent="0.3">
      <c r="A53">
        <f t="shared" si="4"/>
        <v>45</v>
      </c>
      <c r="B53" t="s">
        <v>155</v>
      </c>
      <c r="C53">
        <f t="shared" ca="1" si="0"/>
        <v>0.9360197951406668</v>
      </c>
      <c r="D53">
        <f t="shared" ca="1" si="16"/>
        <v>6.6118654073616098E-2</v>
      </c>
      <c r="E53" s="12">
        <f t="shared" ca="1" si="5"/>
        <v>47.952273910455467</v>
      </c>
      <c r="G53">
        <f t="shared" ca="1" si="2"/>
        <v>0.63215345868933748</v>
      </c>
      <c r="H53">
        <f t="shared" ca="1" si="17"/>
        <v>0.50741326409748944</v>
      </c>
      <c r="I53">
        <v>50.669840795905351</v>
      </c>
      <c r="K53" s="2" t="s">
        <v>154</v>
      </c>
      <c r="O53">
        <f t="shared" ca="1" si="18"/>
        <v>2.7175668854498838</v>
      </c>
      <c r="P53">
        <f t="shared" ca="1" si="19"/>
        <v>2.2101540000000002</v>
      </c>
      <c r="Q53" s="27" t="s">
        <v>247</v>
      </c>
      <c r="S53">
        <f t="shared" ca="1" si="20"/>
        <v>45</v>
      </c>
      <c r="T53">
        <f t="shared" ca="1" si="21"/>
        <v>39</v>
      </c>
      <c r="U53">
        <f t="shared" ca="1" si="22"/>
        <v>6</v>
      </c>
    </row>
    <row r="54" spans="1:21" x14ac:dyDescent="0.3">
      <c r="A54">
        <f t="shared" si="4"/>
        <v>46</v>
      </c>
      <c r="B54" t="s">
        <v>154</v>
      </c>
      <c r="C54">
        <f t="shared" ca="1" si="0"/>
        <v>0.88670884970862773</v>
      </c>
      <c r="D54">
        <f t="shared" ca="1" si="16"/>
        <v>0.12023859214679512</v>
      </c>
      <c r="E54" s="12">
        <f t="shared" ca="1" si="5"/>
        <v>48.072512502602265</v>
      </c>
      <c r="G54">
        <f t="shared" ca="1" si="2"/>
        <v>0.26524171283428011</v>
      </c>
      <c r="H54">
        <f t="shared" ca="1" si="17"/>
        <v>1.3759039089946299</v>
      </c>
      <c r="I54">
        <v>52.045744704899981</v>
      </c>
      <c r="K54" s="2" t="s">
        <v>151</v>
      </c>
      <c r="O54">
        <f t="shared" ca="1" si="18"/>
        <v>3.9732322022977158</v>
      </c>
      <c r="P54">
        <f t="shared" ca="1" si="19"/>
        <v>2.5973280000000001</v>
      </c>
      <c r="Q54" s="27" t="s">
        <v>247</v>
      </c>
      <c r="S54">
        <f t="shared" ca="1" si="20"/>
        <v>46</v>
      </c>
      <c r="T54">
        <f t="shared" ca="1" si="21"/>
        <v>39</v>
      </c>
      <c r="U54">
        <f t="shared" ca="1" si="22"/>
        <v>7</v>
      </c>
    </row>
    <row r="55" spans="1:21" x14ac:dyDescent="0.3">
      <c r="A55">
        <f t="shared" si="4"/>
        <v>47</v>
      </c>
      <c r="B55" t="s">
        <v>153</v>
      </c>
      <c r="C55">
        <f t="shared" ca="1" si="0"/>
        <v>0.67721273003472338</v>
      </c>
      <c r="D55">
        <f t="shared" ca="1" si="16"/>
        <v>0.3897698308568322</v>
      </c>
      <c r="E55" s="12">
        <f t="shared" ca="1" si="5"/>
        <v>48.4622823334591</v>
      </c>
      <c r="G55">
        <f t="shared" ca="1" si="2"/>
        <v>0.67078901182063677</v>
      </c>
      <c r="H55">
        <f t="shared" ca="1" si="17"/>
        <v>0.44809079404533175</v>
      </c>
      <c r="I55">
        <v>50.162427531807865</v>
      </c>
      <c r="K55" s="2" t="s">
        <v>152</v>
      </c>
      <c r="O55">
        <f t="shared" ca="1" si="18"/>
        <v>1.7001451983487641</v>
      </c>
      <c r="P55">
        <f t="shared" ca="1" si="19"/>
        <v>1.252054</v>
      </c>
      <c r="Q55" s="27" t="s">
        <v>247</v>
      </c>
      <c r="S55">
        <f t="shared" ca="1" si="20"/>
        <v>47</v>
      </c>
      <c r="T55">
        <f t="shared" ca="1" si="21"/>
        <v>39</v>
      </c>
      <c r="U55">
        <f t="shared" ca="1" si="22"/>
        <v>8</v>
      </c>
    </row>
    <row r="56" spans="1:21" x14ac:dyDescent="0.3">
      <c r="A56">
        <f t="shared" si="4"/>
        <v>48</v>
      </c>
      <c r="B56" t="s">
        <v>152</v>
      </c>
      <c r="C56">
        <f t="shared" ca="1" si="0"/>
        <v>0.10852953412418276</v>
      </c>
      <c r="D56">
        <f t="shared" ca="1" si="16"/>
        <v>2.220732939132867</v>
      </c>
      <c r="E56" s="12">
        <f t="shared" ca="1" si="5"/>
        <v>50.683015272591966</v>
      </c>
      <c r="G56">
        <f t="shared" ca="1" si="2"/>
        <v>0.18442427384057436</v>
      </c>
      <c r="H56">
        <f t="shared" ca="1" si="17"/>
        <v>1.7393065038129789</v>
      </c>
      <c r="I56">
        <v>54.064408309873038</v>
      </c>
      <c r="K56" s="2" t="s">
        <v>149</v>
      </c>
      <c r="O56">
        <f t="shared" ca="1" si="18"/>
        <v>3.3813930372810717</v>
      </c>
      <c r="P56">
        <f t="shared" ca="1" si="19"/>
        <v>1.6420870000000001</v>
      </c>
      <c r="Q56" s="27" t="s">
        <v>247</v>
      </c>
      <c r="S56">
        <f t="shared" ca="1" si="20"/>
        <v>48</v>
      </c>
      <c r="T56">
        <f t="shared" ca="1" si="21"/>
        <v>44</v>
      </c>
      <c r="U56">
        <f t="shared" ca="1" si="22"/>
        <v>4</v>
      </c>
    </row>
    <row r="57" spans="1:21" x14ac:dyDescent="0.3">
      <c r="A57">
        <f t="shared" si="4"/>
        <v>49</v>
      </c>
      <c r="B57" t="s">
        <v>151</v>
      </c>
      <c r="C57">
        <f t="shared" ca="1" si="0"/>
        <v>0.69155823736494326</v>
      </c>
      <c r="D57">
        <f t="shared" ca="1" si="16"/>
        <v>0.3688079125299088</v>
      </c>
      <c r="E57" s="12">
        <f t="shared" ca="1" si="5"/>
        <v>51.051823185121876</v>
      </c>
      <c r="G57">
        <f t="shared" ca="1" si="2"/>
        <v>0.79408327967815739</v>
      </c>
      <c r="H57">
        <f t="shared" ca="1" si="17"/>
        <v>0.27935710116008022</v>
      </c>
      <c r="I57">
        <v>52.325101806060061</v>
      </c>
      <c r="K57" s="2" t="s">
        <v>148</v>
      </c>
      <c r="O57">
        <f t="shared" ca="1" si="18"/>
        <v>1.2732786209381857</v>
      </c>
      <c r="P57">
        <f t="shared" ca="1" si="19"/>
        <v>0.99392199999999997</v>
      </c>
      <c r="Q57" s="27" t="s">
        <v>247</v>
      </c>
      <c r="S57">
        <f t="shared" ca="1" si="20"/>
        <v>49</v>
      </c>
      <c r="T57">
        <f t="shared" ca="1" si="21"/>
        <v>44</v>
      </c>
      <c r="U57">
        <f t="shared" ca="1" si="22"/>
        <v>5</v>
      </c>
    </row>
    <row r="58" spans="1:21" x14ac:dyDescent="0.3">
      <c r="A58">
        <f t="shared" si="4"/>
        <v>50</v>
      </c>
      <c r="B58" t="s">
        <v>150</v>
      </c>
      <c r="C58">
        <f t="shared" ca="1" si="0"/>
        <v>0.12478088183472624</v>
      </c>
      <c r="D58">
        <f t="shared" ca="1" si="16"/>
        <v>2.0811960252085346</v>
      </c>
      <c r="E58" s="12">
        <f t="shared" ca="1" si="5"/>
        <v>53.13301921033041</v>
      </c>
      <c r="G58">
        <f t="shared" ca="1" si="2"/>
        <v>7.8775460492435889E-2</v>
      </c>
      <c r="H58">
        <f t="shared" ca="1" si="17"/>
        <v>2.5899439098580888</v>
      </c>
      <c r="I58">
        <v>65.870709100984342</v>
      </c>
      <c r="K58" s="2" t="s">
        <v>157</v>
      </c>
      <c r="O58">
        <f t="shared" ca="1" si="18"/>
        <v>12.737689890653932</v>
      </c>
      <c r="P58">
        <f t="shared" ca="1" si="19"/>
        <v>10.147746</v>
      </c>
      <c r="Q58" s="27" t="s">
        <v>247</v>
      </c>
      <c r="S58">
        <f t="shared" ca="1" si="20"/>
        <v>50</v>
      </c>
      <c r="T58">
        <f t="shared" ca="1" si="21"/>
        <v>46</v>
      </c>
      <c r="U58">
        <f t="shared" ca="1" si="22"/>
        <v>4</v>
      </c>
    </row>
    <row r="59" spans="1:21" x14ac:dyDescent="0.3">
      <c r="A59">
        <f t="shared" si="4"/>
        <v>51</v>
      </c>
      <c r="B59" t="s">
        <v>149</v>
      </c>
      <c r="C59">
        <f t="shared" ca="1" si="0"/>
        <v>0.80912354794059738</v>
      </c>
      <c r="D59">
        <f t="shared" ca="1" si="16"/>
        <v>0.21180365672261828</v>
      </c>
      <c r="E59" s="12">
        <f t="shared" ca="1" si="5"/>
        <v>53.344822867053026</v>
      </c>
      <c r="G59">
        <f t="shared" ca="1" si="2"/>
        <v>0.7024087168099169</v>
      </c>
      <c r="H59">
        <f t="shared" ca="1" si="17"/>
        <v>0.40202999087076841</v>
      </c>
      <c r="I59">
        <v>54.466438300743803</v>
      </c>
      <c r="K59" s="2" t="s">
        <v>147</v>
      </c>
      <c r="O59">
        <f t="shared" ca="1" si="18"/>
        <v>1.1216154336907778</v>
      </c>
      <c r="P59">
        <f t="shared" ca="1" si="19"/>
        <v>0.71958500000000003</v>
      </c>
      <c r="Q59" s="27" t="s">
        <v>247</v>
      </c>
      <c r="S59">
        <f t="shared" ca="1" si="20"/>
        <v>51</v>
      </c>
      <c r="T59">
        <f t="shared" ca="1" si="21"/>
        <v>46</v>
      </c>
      <c r="U59">
        <f t="shared" ca="1" si="22"/>
        <v>5</v>
      </c>
    </row>
    <row r="60" spans="1:21" x14ac:dyDescent="0.3">
      <c r="A60">
        <f t="shared" si="4"/>
        <v>52</v>
      </c>
      <c r="B60" t="s">
        <v>148</v>
      </c>
      <c r="C60">
        <f t="shared" ca="1" si="0"/>
        <v>0.94859542483711468</v>
      </c>
      <c r="D60">
        <f t="shared" ca="1" si="16"/>
        <v>5.2772888618898728E-2</v>
      </c>
      <c r="E60" s="12">
        <f t="shared" ca="1" si="5"/>
        <v>53.397595755671922</v>
      </c>
      <c r="G60">
        <f t="shared" ca="1" si="2"/>
        <v>0.45137206145119224</v>
      </c>
      <c r="H60">
        <f t="shared" ca="1" si="17"/>
        <v>0.84425347379127336</v>
      </c>
      <c r="I60">
        <v>55.31069177453508</v>
      </c>
      <c r="K60" s="2" t="s">
        <v>145</v>
      </c>
      <c r="O60">
        <f t="shared" ca="1" si="18"/>
        <v>1.9130960188631576</v>
      </c>
      <c r="P60">
        <f t="shared" ca="1" si="19"/>
        <v>1.068843</v>
      </c>
      <c r="Q60" s="27" t="s">
        <v>247</v>
      </c>
      <c r="S60">
        <f t="shared" ca="1" si="20"/>
        <v>52</v>
      </c>
      <c r="T60">
        <f t="shared" ca="1" si="21"/>
        <v>46</v>
      </c>
      <c r="U60">
        <f t="shared" ca="1" si="22"/>
        <v>6</v>
      </c>
    </row>
    <row r="61" spans="1:21" x14ac:dyDescent="0.3">
      <c r="A61">
        <f t="shared" si="4"/>
        <v>53</v>
      </c>
      <c r="B61" t="s">
        <v>147</v>
      </c>
      <c r="C61">
        <f t="shared" ca="1" si="0"/>
        <v>7.986291545429347E-2</v>
      </c>
      <c r="D61">
        <f t="shared" ca="1" si="16"/>
        <v>2.5274436709473944</v>
      </c>
      <c r="E61" s="12">
        <f t="shared" ca="1" si="5"/>
        <v>55.925039426619314</v>
      </c>
      <c r="G61">
        <f t="shared" ca="1" si="2"/>
        <v>0.56436241920463026</v>
      </c>
      <c r="H61">
        <f t="shared" ca="1" si="17"/>
        <v>0.62084881078203713</v>
      </c>
      <c r="I61">
        <v>57.678939750222888</v>
      </c>
      <c r="K61" s="2" t="s">
        <v>146</v>
      </c>
      <c r="O61">
        <f t="shared" ca="1" si="18"/>
        <v>1.753900323603574</v>
      </c>
      <c r="P61">
        <f t="shared" ca="1" si="19"/>
        <v>1.1330519999999999</v>
      </c>
      <c r="Q61" s="27" t="s">
        <v>247</v>
      </c>
      <c r="S61">
        <f t="shared" ca="1" si="20"/>
        <v>53</v>
      </c>
      <c r="T61">
        <f t="shared" ca="1" si="21"/>
        <v>49</v>
      </c>
      <c r="U61">
        <f t="shared" ca="1" si="22"/>
        <v>4</v>
      </c>
    </row>
    <row r="62" spans="1:21" x14ac:dyDescent="0.3">
      <c r="A62">
        <f t="shared" si="4"/>
        <v>54</v>
      </c>
      <c r="B62" t="s">
        <v>146</v>
      </c>
      <c r="C62">
        <f t="shared" ca="1" si="0"/>
        <v>0.51682873236331794</v>
      </c>
      <c r="D62">
        <f t="shared" ca="1" si="16"/>
        <v>0.66004373138093619</v>
      </c>
      <c r="E62" s="12">
        <f t="shared" ca="1" si="5"/>
        <v>56.585083158000252</v>
      </c>
      <c r="G62">
        <f t="shared" ca="1" si="2"/>
        <v>0.28151861988342197</v>
      </c>
      <c r="H62">
        <f t="shared" ca="1" si="17"/>
        <v>1.3163468525251425</v>
      </c>
      <c r="I62">
        <v>59.673161363038091</v>
      </c>
      <c r="K62" s="2" t="s">
        <v>144</v>
      </c>
      <c r="O62">
        <f t="shared" ca="1" si="18"/>
        <v>3.0880782050378386</v>
      </c>
      <c r="P62">
        <f t="shared" ca="1" si="19"/>
        <v>1.7717309999999999</v>
      </c>
      <c r="Q62" s="27" t="s">
        <v>247</v>
      </c>
      <c r="S62">
        <f t="shared" ca="1" si="20"/>
        <v>54</v>
      </c>
      <c r="T62">
        <f t="shared" ca="1" si="21"/>
        <v>49</v>
      </c>
      <c r="U62">
        <f t="shared" ca="1" si="22"/>
        <v>5</v>
      </c>
    </row>
    <row r="63" spans="1:21" x14ac:dyDescent="0.3">
      <c r="A63">
        <f t="shared" si="4"/>
        <v>55</v>
      </c>
      <c r="B63" t="s">
        <v>145</v>
      </c>
      <c r="C63">
        <f t="shared" ca="1" si="0"/>
        <v>0.75662653189960305</v>
      </c>
      <c r="D63">
        <f t="shared" ca="1" si="16"/>
        <v>0.27888550012392554</v>
      </c>
      <c r="E63" s="12">
        <f t="shared" ca="1" si="5"/>
        <v>56.863968658124179</v>
      </c>
      <c r="G63">
        <f t="shared" ca="1" si="2"/>
        <v>0.53307956082221597</v>
      </c>
      <c r="H63">
        <f t="shared" ca="1" si="17"/>
        <v>0.67787476029005589</v>
      </c>
      <c r="I63">
        <v>58.356814510512947</v>
      </c>
      <c r="K63" s="2" t="s">
        <v>142</v>
      </c>
      <c r="O63">
        <f t="shared" ca="1" si="18"/>
        <v>1.4928458523887684</v>
      </c>
      <c r="P63">
        <f t="shared" ca="1" si="19"/>
        <v>0.814971</v>
      </c>
      <c r="Q63" s="27" t="s">
        <v>247</v>
      </c>
      <c r="S63">
        <f t="shared" ca="1" si="20"/>
        <v>55</v>
      </c>
      <c r="T63">
        <f t="shared" ca="1" si="21"/>
        <v>49</v>
      </c>
      <c r="U63">
        <f t="shared" ca="1" si="22"/>
        <v>6</v>
      </c>
    </row>
    <row r="64" spans="1:21" x14ac:dyDescent="0.3">
      <c r="A64">
        <f t="shared" si="4"/>
        <v>56</v>
      </c>
      <c r="B64" t="s">
        <v>144</v>
      </c>
      <c r="C64">
        <f t="shared" ca="1" si="0"/>
        <v>0.14798431391036593</v>
      </c>
      <c r="D64">
        <f t="shared" ca="1" si="16"/>
        <v>1.9106489979271728</v>
      </c>
      <c r="E64" s="12">
        <f t="shared" ca="1" si="5"/>
        <v>58.774617656051355</v>
      </c>
      <c r="G64">
        <f t="shared" ca="1" si="2"/>
        <v>0.31516755041281153</v>
      </c>
      <c r="H64">
        <f t="shared" ca="1" si="17"/>
        <v>1.2034410396654105</v>
      </c>
      <c r="I64">
        <v>60.876602402703504</v>
      </c>
      <c r="K64" s="2" t="s">
        <v>143</v>
      </c>
      <c r="O64">
        <f t="shared" ca="1" si="18"/>
        <v>2.1019847466521497</v>
      </c>
      <c r="P64">
        <f t="shared" ca="1" si="19"/>
        <v>0.89854400000000001</v>
      </c>
      <c r="Q64" s="27" t="s">
        <v>247</v>
      </c>
      <c r="S64">
        <f t="shared" ca="1" si="20"/>
        <v>56</v>
      </c>
      <c r="T64">
        <f t="shared" ca="1" si="21"/>
        <v>52</v>
      </c>
      <c r="U64">
        <f t="shared" ca="1" si="22"/>
        <v>4</v>
      </c>
    </row>
    <row r="65" spans="1:21" x14ac:dyDescent="0.3">
      <c r="A65">
        <f t="shared" si="4"/>
        <v>57</v>
      </c>
      <c r="B65" t="s">
        <v>143</v>
      </c>
      <c r="C65">
        <f t="shared" ca="1" si="0"/>
        <v>0.62786797054054511</v>
      </c>
      <c r="D65">
        <f t="shared" ca="1" si="16"/>
        <v>0.46542537260980577</v>
      </c>
      <c r="E65" s="12">
        <f t="shared" ca="1" si="5"/>
        <v>59.240043028661162</v>
      </c>
      <c r="G65">
        <f t="shared" ca="1" si="2"/>
        <v>0.24186662937938941</v>
      </c>
      <c r="H65">
        <f t="shared" ca="1" si="17"/>
        <v>1.4681589871833611</v>
      </c>
      <c r="I65">
        <v>63.28076519112625</v>
      </c>
      <c r="K65" s="2" t="s">
        <v>150</v>
      </c>
      <c r="O65">
        <f t="shared" ca="1" si="18"/>
        <v>4.0407221624650873</v>
      </c>
      <c r="P65">
        <f t="shared" ca="1" si="19"/>
        <v>2.5725630000000002</v>
      </c>
      <c r="Q65" s="27" t="s">
        <v>247</v>
      </c>
      <c r="S65">
        <f t="shared" ca="1" si="20"/>
        <v>57</v>
      </c>
      <c r="T65">
        <f t="shared" ca="1" si="21"/>
        <v>52</v>
      </c>
      <c r="U65">
        <f t="shared" ca="1" si="22"/>
        <v>5</v>
      </c>
    </row>
    <row r="66" spans="1:21" x14ac:dyDescent="0.3">
      <c r="A66">
        <f t="shared" si="4"/>
        <v>58</v>
      </c>
      <c r="B66" t="s">
        <v>142</v>
      </c>
      <c r="C66">
        <f t="shared" ca="1" si="0"/>
        <v>0.43454985752397401</v>
      </c>
      <c r="D66">
        <f t="shared" ca="1" si="16"/>
        <v>0.83344459396899206</v>
      </c>
      <c r="E66" s="12">
        <f t="shared" ca="1" si="5"/>
        <v>60.073487622630154</v>
      </c>
      <c r="G66">
        <f t="shared" ca="1" si="2"/>
        <v>0.41180158432880176</v>
      </c>
      <c r="H66">
        <f t="shared" ca="1" si="17"/>
        <v>0.93600380123939042</v>
      </c>
      <c r="I66">
        <v>61.812606203942892</v>
      </c>
      <c r="K66" s="2" t="s">
        <v>140</v>
      </c>
      <c r="O66">
        <f t="shared" ca="1" si="18"/>
        <v>1.7391185813127379</v>
      </c>
      <c r="P66">
        <f t="shared" ca="1" si="19"/>
        <v>0.80311500000000002</v>
      </c>
      <c r="Q66" s="27" t="s">
        <v>247</v>
      </c>
      <c r="S66">
        <f t="shared" ca="1" si="20"/>
        <v>58</v>
      </c>
      <c r="T66">
        <f t="shared" ca="1" si="21"/>
        <v>53</v>
      </c>
      <c r="U66">
        <f t="shared" ca="1" si="22"/>
        <v>5</v>
      </c>
    </row>
    <row r="67" spans="1:21" x14ac:dyDescent="0.3">
      <c r="A67">
        <f t="shared" si="4"/>
        <v>59</v>
      </c>
      <c r="B67" t="s">
        <v>141</v>
      </c>
      <c r="C67">
        <f t="shared" ca="1" si="0"/>
        <v>2.1607976773185267E-2</v>
      </c>
      <c r="D67">
        <f t="shared" ca="1" si="16"/>
        <v>3.8346927374097799</v>
      </c>
      <c r="E67" s="12">
        <f t="shared" ca="1" si="5"/>
        <v>63.908180360039935</v>
      </c>
      <c r="G67">
        <f t="shared" ca="1" si="2"/>
        <v>0.66610132469774441</v>
      </c>
      <c r="H67">
        <f t="shared" ca="1" si="17"/>
        <v>0.45510364499736983</v>
      </c>
      <c r="I67">
        <v>66.47029412911273</v>
      </c>
      <c r="K67" s="2" t="s">
        <v>141</v>
      </c>
      <c r="O67">
        <f t="shared" ca="1" si="18"/>
        <v>2.5621137690727949</v>
      </c>
      <c r="P67">
        <f t="shared" ca="1" si="19"/>
        <v>2.1070099999999998</v>
      </c>
      <c r="Q67" s="27" t="s">
        <v>247</v>
      </c>
      <c r="S67">
        <f t="shared" ca="1" si="20"/>
        <v>59</v>
      </c>
      <c r="T67">
        <f t="shared" ca="1" si="21"/>
        <v>56</v>
      </c>
      <c r="U67">
        <f t="shared" ca="1" si="22"/>
        <v>3</v>
      </c>
    </row>
    <row r="68" spans="1:21" x14ac:dyDescent="0.3">
      <c r="A68">
        <f t="shared" si="4"/>
        <v>60</v>
      </c>
      <c r="B68" t="s">
        <v>140</v>
      </c>
      <c r="C68">
        <f t="shared" ca="1" si="0"/>
        <v>0.27713983061765557</v>
      </c>
      <c r="D68">
        <f t="shared" ca="1" si="16"/>
        <v>1.2832330964914633</v>
      </c>
      <c r="E68" s="12">
        <f t="shared" ca="1" si="5"/>
        <v>65.191413456531393</v>
      </c>
      <c r="G68">
        <f t="shared" ca="1" si="2"/>
        <v>0.90874457584448998</v>
      </c>
      <c r="H68">
        <f t="shared" ca="1" si="17"/>
        <v>0.14448138313101799</v>
      </c>
      <c r="I68">
        <v>66.015190484115365</v>
      </c>
      <c r="K68" s="2" t="s">
        <v>139</v>
      </c>
      <c r="O68">
        <f t="shared" ca="1" si="18"/>
        <v>0.8237770275839722</v>
      </c>
      <c r="P68">
        <f t="shared" ca="1" si="19"/>
        <v>0.67929600000000001</v>
      </c>
      <c r="Q68" s="27" t="s">
        <v>247</v>
      </c>
      <c r="S68">
        <f t="shared" ca="1" si="20"/>
        <v>60</v>
      </c>
      <c r="T68">
        <f t="shared" ca="1" si="21"/>
        <v>56</v>
      </c>
      <c r="U68">
        <f t="shared" ca="1" si="22"/>
        <v>4</v>
      </c>
    </row>
    <row r="69" spans="1:21" x14ac:dyDescent="0.3">
      <c r="A69">
        <f t="shared" si="4"/>
        <v>61</v>
      </c>
      <c r="B69" t="s">
        <v>139</v>
      </c>
      <c r="C69">
        <f t="shared" ca="1" si="0"/>
        <v>0.45761250044773361</v>
      </c>
      <c r="D69">
        <f t="shared" ca="1" si="16"/>
        <v>0.7817325218776574</v>
      </c>
      <c r="E69" s="12">
        <f t="shared" ca="1" si="5"/>
        <v>65.97314597840905</v>
      </c>
      <c r="G69">
        <f t="shared" ca="1" si="2"/>
        <v>0.46895183327034873</v>
      </c>
      <c r="H69">
        <f t="shared" ca="1" si="17"/>
        <v>0.80604538089549072</v>
      </c>
      <c r="I69">
        <v>67.276339510008228</v>
      </c>
      <c r="K69" s="2" t="s">
        <v>138</v>
      </c>
      <c r="O69">
        <f t="shared" ca="1" si="18"/>
        <v>1.3031935315991774</v>
      </c>
      <c r="P69">
        <f t="shared" ca="1" si="19"/>
        <v>0.49714799999999998</v>
      </c>
      <c r="Q69" s="27" t="s">
        <v>247</v>
      </c>
      <c r="S69">
        <f t="shared" ca="1" si="20"/>
        <v>61</v>
      </c>
      <c r="T69">
        <f t="shared" ca="1" si="21"/>
        <v>57</v>
      </c>
      <c r="U69">
        <f t="shared" ca="1" si="22"/>
        <v>4</v>
      </c>
    </row>
    <row r="70" spans="1:21" x14ac:dyDescent="0.3">
      <c r="A70">
        <f t="shared" si="4"/>
        <v>62</v>
      </c>
      <c r="B70" t="s">
        <v>138</v>
      </c>
      <c r="C70">
        <f t="shared" ca="1" si="0"/>
        <v>0.49628488630533829</v>
      </c>
      <c r="D70">
        <f t="shared" ca="1" si="16"/>
        <v>0.70060514959203246</v>
      </c>
      <c r="E70" s="12">
        <f t="shared" ca="1" si="5"/>
        <v>66.673751128001086</v>
      </c>
      <c r="G70">
        <f t="shared" ca="1" si="2"/>
        <v>0.48212589080556267</v>
      </c>
      <c r="H70">
        <f t="shared" ca="1" si="17"/>
        <v>0.77834017895972951</v>
      </c>
      <c r="I70">
        <v>68.054679688967951</v>
      </c>
      <c r="K70" s="2" t="s">
        <v>137</v>
      </c>
      <c r="O70">
        <f t="shared" ca="1" si="18"/>
        <v>1.3809285609668649</v>
      </c>
      <c r="P70">
        <f t="shared" ca="1" si="19"/>
        <v>0.60258800000000001</v>
      </c>
      <c r="Q70" s="27" t="s">
        <v>247</v>
      </c>
      <c r="S70">
        <f t="shared" ca="1" si="20"/>
        <v>62</v>
      </c>
      <c r="T70">
        <f t="shared" ca="1" si="21"/>
        <v>59</v>
      </c>
      <c r="U70">
        <f t="shared" ca="1" si="22"/>
        <v>3</v>
      </c>
    </row>
    <row r="71" spans="1:21" x14ac:dyDescent="0.3">
      <c r="A71">
        <f t="shared" si="4"/>
        <v>63</v>
      </c>
      <c r="B71" t="s">
        <v>137</v>
      </c>
      <c r="C71">
        <f t="shared" ca="1" si="0"/>
        <v>0.49381058254156796</v>
      </c>
      <c r="D71">
        <f t="shared" ca="1" si="16"/>
        <v>0.70560327147532431</v>
      </c>
      <c r="E71" s="12">
        <f t="shared" ca="1" si="5"/>
        <v>67.379354399476412</v>
      </c>
      <c r="G71">
        <f t="shared" ca="1" si="2"/>
        <v>0.7805095256312633</v>
      </c>
      <c r="H71">
        <f t="shared" ca="1" si="17"/>
        <v>0.29659849874619648</v>
      </c>
      <c r="I71">
        <v>68.351278187714144</v>
      </c>
      <c r="K71" s="2" t="s">
        <v>135</v>
      </c>
      <c r="O71">
        <f t="shared" ca="1" si="18"/>
        <v>0.9719237882377314</v>
      </c>
      <c r="P71">
        <f t="shared" ca="1" si="19"/>
        <v>0.67532499999999995</v>
      </c>
      <c r="Q71" s="27" t="s">
        <v>247</v>
      </c>
      <c r="S71">
        <f t="shared" ca="1" si="20"/>
        <v>63</v>
      </c>
      <c r="T71">
        <f t="shared" ca="1" si="21"/>
        <v>60</v>
      </c>
      <c r="U71">
        <f t="shared" ca="1" si="22"/>
        <v>3</v>
      </c>
    </row>
    <row r="72" spans="1:21" x14ac:dyDescent="0.3">
      <c r="A72">
        <f t="shared" si="4"/>
        <v>64</v>
      </c>
      <c r="B72" t="s">
        <v>136</v>
      </c>
      <c r="C72">
        <f t="shared" ca="1" si="0"/>
        <v>0.49091105344097297</v>
      </c>
      <c r="D72">
        <f t="shared" ca="1" si="16"/>
        <v>0.71149232148600272</v>
      </c>
      <c r="E72" s="12">
        <f t="shared" ca="1" si="5"/>
        <v>68.090846720962418</v>
      </c>
      <c r="G72">
        <f t="shared" ca="1" si="2"/>
        <v>0.14478696146047698</v>
      </c>
      <c r="H72">
        <f t="shared" ca="1" si="17"/>
        <v>1.9812820124167139</v>
      </c>
      <c r="I72">
        <v>72.377223580185699</v>
      </c>
      <c r="K72" s="2" t="s">
        <v>134</v>
      </c>
      <c r="O72">
        <f t="shared" ca="1" si="18"/>
        <v>4.2863768592232816</v>
      </c>
      <c r="P72">
        <f t="shared" ca="1" si="19"/>
        <v>2.3050950000000001</v>
      </c>
      <c r="Q72" s="27" t="s">
        <v>247</v>
      </c>
      <c r="S72">
        <f t="shared" ca="1" si="20"/>
        <v>64</v>
      </c>
      <c r="T72">
        <f t="shared" ca="1" si="21"/>
        <v>61</v>
      </c>
      <c r="U72">
        <f t="shared" ca="1" si="22"/>
        <v>3</v>
      </c>
    </row>
    <row r="73" spans="1:21" x14ac:dyDescent="0.3">
      <c r="A73">
        <f t="shared" si="4"/>
        <v>65</v>
      </c>
      <c r="B73" t="s">
        <v>135</v>
      </c>
      <c r="C73">
        <f t="shared" ref="C73:C136" ca="1" si="23">RAND()</f>
        <v>0.7740884488246188</v>
      </c>
      <c r="D73">
        <f t="shared" ref="D73:D104" ca="1" si="24">-LN($C73)*$E$2</f>
        <v>0.25606913695408884</v>
      </c>
      <c r="E73" s="12">
        <f t="shared" ca="1" si="5"/>
        <v>68.3469158579165</v>
      </c>
      <c r="G73">
        <f t="shared" ref="G73:G136" ca="1" si="25">RAND()</f>
        <v>0.83102216493403036</v>
      </c>
      <c r="H73">
        <f t="shared" ref="H73:H104" ca="1" si="26">-LN($G73*$I$2)</f>
        <v>0.23388897604770048</v>
      </c>
      <c r="I73">
        <v>68.585167163761838</v>
      </c>
      <c r="K73" s="2" t="s">
        <v>132</v>
      </c>
      <c r="O73">
        <f t="shared" ref="O73:O104" ca="1" si="27">$I73-$E73</f>
        <v>0.23825130584533838</v>
      </c>
      <c r="P73">
        <f t="shared" ref="P73:P104" ca="1" si="28">MAX(0, ROUND($O73-$H73, 6))</f>
        <v>4.3620000000000004E-3</v>
      </c>
      <c r="Q73" s="27" t="s">
        <v>247</v>
      </c>
      <c r="S73">
        <f t="shared" ref="S73:S104" ca="1" si="29">COUNTIF($E$9:$E$208, "&lt;=" &amp;$E73)</f>
        <v>65</v>
      </c>
      <c r="T73">
        <f t="shared" ref="T73:T104" ca="1" si="30">COUNTIF($I$9:$I$208, "&lt;=" &amp;$E73)</f>
        <v>61</v>
      </c>
      <c r="U73">
        <f t="shared" ref="U73:U104" ca="1" si="31">$S73-$T73</f>
        <v>4</v>
      </c>
    </row>
    <row r="74" spans="1:21" x14ac:dyDescent="0.3">
      <c r="A74">
        <f t="shared" ref="A74:A137" si="32">1+$A73</f>
        <v>66</v>
      </c>
      <c r="B74" t="s">
        <v>134</v>
      </c>
      <c r="C74">
        <f t="shared" ca="1" si="23"/>
        <v>0.97224033766024165</v>
      </c>
      <c r="D74">
        <f t="shared" ca="1" si="24"/>
        <v>2.8152244118326081E-2</v>
      </c>
      <c r="E74" s="12">
        <f t="shared" ref="E74:E137" ca="1" si="33">$E73+$D74</f>
        <v>68.375068102034831</v>
      </c>
      <c r="G74">
        <f t="shared" ca="1" si="25"/>
        <v>0.8013844981924193</v>
      </c>
      <c r="H74">
        <f t="shared" ca="1" si="26"/>
        <v>0.27020458854512203</v>
      </c>
      <c r="I74">
        <v>68.855371752306965</v>
      </c>
      <c r="K74" s="2" t="s">
        <v>133</v>
      </c>
      <c r="O74">
        <f t="shared" ca="1" si="27"/>
        <v>0.48030365027213406</v>
      </c>
      <c r="P74">
        <f t="shared" ca="1" si="28"/>
        <v>0.21009900000000001</v>
      </c>
      <c r="Q74" s="27" t="s">
        <v>247</v>
      </c>
      <c r="S74">
        <f t="shared" ca="1" si="29"/>
        <v>66</v>
      </c>
      <c r="T74">
        <f t="shared" ca="1" si="30"/>
        <v>62</v>
      </c>
      <c r="U74">
        <f t="shared" ca="1" si="31"/>
        <v>4</v>
      </c>
    </row>
    <row r="75" spans="1:21" x14ac:dyDescent="0.3">
      <c r="A75">
        <f t="shared" si="32"/>
        <v>67</v>
      </c>
      <c r="B75" t="s">
        <v>133</v>
      </c>
      <c r="C75">
        <f t="shared" ca="1" si="23"/>
        <v>0.8883225679763761</v>
      </c>
      <c r="D75">
        <f t="shared" ca="1" si="24"/>
        <v>0.11842034972443499</v>
      </c>
      <c r="E75" s="12">
        <f t="shared" ca="1" si="33"/>
        <v>68.493488451759262</v>
      </c>
      <c r="G75">
        <f t="shared" ca="1" si="25"/>
        <v>0.34204861450168433</v>
      </c>
      <c r="H75">
        <f t="shared" ca="1" si="26"/>
        <v>1.1215925685252424</v>
      </c>
      <c r="I75">
        <v>70.17927389640856</v>
      </c>
      <c r="K75" s="2" t="s">
        <v>131</v>
      </c>
      <c r="O75">
        <f t="shared" ca="1" si="27"/>
        <v>1.6857854446492979</v>
      </c>
      <c r="P75">
        <f t="shared" ca="1" si="28"/>
        <v>0.56419299999999994</v>
      </c>
      <c r="Q75" s="27" t="s">
        <v>247</v>
      </c>
      <c r="S75">
        <f t="shared" ca="1" si="29"/>
        <v>67</v>
      </c>
      <c r="T75">
        <f t="shared" ca="1" si="30"/>
        <v>62</v>
      </c>
      <c r="U75">
        <f t="shared" ca="1" si="31"/>
        <v>5</v>
      </c>
    </row>
    <row r="76" spans="1:21" x14ac:dyDescent="0.3">
      <c r="A76">
        <f t="shared" si="32"/>
        <v>68</v>
      </c>
      <c r="B76" t="s">
        <v>132</v>
      </c>
      <c r="C76">
        <f t="shared" ca="1" si="23"/>
        <v>0.70588216518044389</v>
      </c>
      <c r="D76">
        <f t="shared" ca="1" si="24"/>
        <v>0.34830696026262231</v>
      </c>
      <c r="E76" s="12">
        <f t="shared" ca="1" si="33"/>
        <v>68.841795412021881</v>
      </c>
      <c r="G76">
        <f t="shared" ca="1" si="25"/>
        <v>0.85768411518186716</v>
      </c>
      <c r="H76">
        <f t="shared" ca="1" si="26"/>
        <v>0.20230957557635465</v>
      </c>
      <c r="I76">
        <v>69.057681327883316</v>
      </c>
      <c r="K76" s="2" t="s">
        <v>136</v>
      </c>
      <c r="O76">
        <f t="shared" ca="1" si="27"/>
        <v>0.2158859158614348</v>
      </c>
      <c r="P76">
        <f t="shared" ca="1" si="28"/>
        <v>1.3576E-2</v>
      </c>
      <c r="Q76" s="27" t="s">
        <v>247</v>
      </c>
      <c r="S76">
        <f t="shared" ca="1" si="29"/>
        <v>68</v>
      </c>
      <c r="T76">
        <f t="shared" ca="1" si="30"/>
        <v>63</v>
      </c>
      <c r="U76">
        <f t="shared" ca="1" si="31"/>
        <v>5</v>
      </c>
    </row>
    <row r="77" spans="1:21" x14ac:dyDescent="0.3">
      <c r="A77">
        <f t="shared" si="32"/>
        <v>69</v>
      </c>
      <c r="B77" t="s">
        <v>131</v>
      </c>
      <c r="C77">
        <f t="shared" ca="1" si="23"/>
        <v>0.40087393065126198</v>
      </c>
      <c r="D77">
        <f t="shared" ca="1" si="24"/>
        <v>0.91410828850898462</v>
      </c>
      <c r="E77" s="12">
        <f t="shared" ca="1" si="33"/>
        <v>69.755903700530865</v>
      </c>
      <c r="G77">
        <f t="shared" ca="1" si="25"/>
        <v>0.84545739079278814</v>
      </c>
      <c r="H77">
        <f t="shared" ca="1" si="26"/>
        <v>0.21666767136042006</v>
      </c>
      <c r="I77">
        <v>70.395941567768986</v>
      </c>
      <c r="K77" s="2" t="s">
        <v>129</v>
      </c>
      <c r="O77">
        <f t="shared" ca="1" si="27"/>
        <v>0.64003786723812084</v>
      </c>
      <c r="P77">
        <f t="shared" ca="1" si="28"/>
        <v>0.42337000000000002</v>
      </c>
      <c r="Q77" s="27" t="s">
        <v>247</v>
      </c>
      <c r="S77">
        <f t="shared" ca="1" si="29"/>
        <v>69</v>
      </c>
      <c r="T77">
        <f t="shared" ca="1" si="30"/>
        <v>65</v>
      </c>
      <c r="U77">
        <f t="shared" ca="1" si="31"/>
        <v>4</v>
      </c>
    </row>
    <row r="78" spans="1:21" x14ac:dyDescent="0.3">
      <c r="A78">
        <f t="shared" si="32"/>
        <v>70</v>
      </c>
      <c r="B78" t="s">
        <v>130</v>
      </c>
      <c r="C78">
        <f t="shared" ca="1" si="23"/>
        <v>0.31194938808619044</v>
      </c>
      <c r="D78">
        <f t="shared" ca="1" si="24"/>
        <v>1.1649143220038309</v>
      </c>
      <c r="E78" s="12">
        <f t="shared" ca="1" si="33"/>
        <v>70.920818022534689</v>
      </c>
      <c r="G78">
        <f t="shared" ca="1" si="25"/>
        <v>0.50157493232853778</v>
      </c>
      <c r="H78">
        <f t="shared" ca="1" si="26"/>
        <v>0.7387924305032465</v>
      </c>
      <c r="I78">
        <v>73.687742873283142</v>
      </c>
      <c r="K78" s="2" t="s">
        <v>130</v>
      </c>
      <c r="O78">
        <f t="shared" ca="1" si="27"/>
        <v>2.7669248507484525</v>
      </c>
      <c r="P78">
        <f t="shared" ca="1" si="28"/>
        <v>2.0281319999999998</v>
      </c>
      <c r="Q78" s="27" t="s">
        <v>247</v>
      </c>
      <c r="S78">
        <f t="shared" ca="1" si="29"/>
        <v>70</v>
      </c>
      <c r="T78">
        <f t="shared" ca="1" si="30"/>
        <v>67</v>
      </c>
      <c r="U78">
        <f t="shared" ca="1" si="31"/>
        <v>3</v>
      </c>
    </row>
    <row r="79" spans="1:21" x14ac:dyDescent="0.3">
      <c r="A79">
        <f t="shared" si="32"/>
        <v>71</v>
      </c>
      <c r="B79" t="s">
        <v>129</v>
      </c>
      <c r="C79">
        <f t="shared" ca="1" si="23"/>
        <v>0.28349392318207345</v>
      </c>
      <c r="D79">
        <f t="shared" ca="1" si="24"/>
        <v>1.2605645910279308</v>
      </c>
      <c r="E79" s="12">
        <f t="shared" ca="1" si="33"/>
        <v>72.181382613562619</v>
      </c>
      <c r="G79">
        <f t="shared" ca="1" si="25"/>
        <v>0.59277718153714032</v>
      </c>
      <c r="H79">
        <f t="shared" ca="1" si="26"/>
        <v>0.57172686259419081</v>
      </c>
      <c r="I79">
        <v>72.948950442779889</v>
      </c>
      <c r="K79" s="2" t="s">
        <v>164</v>
      </c>
      <c r="O79">
        <f t="shared" ca="1" si="27"/>
        <v>0.76756782921727051</v>
      </c>
      <c r="P79">
        <f t="shared" ca="1" si="28"/>
        <v>0.19584099999999999</v>
      </c>
      <c r="Q79" s="27" t="s">
        <v>247</v>
      </c>
      <c r="S79">
        <f t="shared" ca="1" si="29"/>
        <v>71</v>
      </c>
      <c r="T79">
        <f t="shared" ca="1" si="30"/>
        <v>67</v>
      </c>
      <c r="U79">
        <f t="shared" ca="1" si="31"/>
        <v>4</v>
      </c>
    </row>
    <row r="80" spans="1:21" x14ac:dyDescent="0.3">
      <c r="A80">
        <f t="shared" si="32"/>
        <v>72</v>
      </c>
      <c r="B80" t="s">
        <v>128</v>
      </c>
      <c r="C80">
        <f t="shared" ca="1" si="23"/>
        <v>9.0014171788399655E-2</v>
      </c>
      <c r="D80">
        <f t="shared" ca="1" si="24"/>
        <v>2.4077881567325243</v>
      </c>
      <c r="E80" s="12">
        <f t="shared" ca="1" si="33"/>
        <v>74.589170770295141</v>
      </c>
      <c r="G80">
        <f t="shared" ca="1" si="25"/>
        <v>0.10394175587134491</v>
      </c>
      <c r="H80">
        <f t="shared" ca="1" si="26"/>
        <v>2.3127147405896107</v>
      </c>
      <c r="I80">
        <v>83.20956620028808</v>
      </c>
      <c r="K80" s="2" t="s">
        <v>125</v>
      </c>
      <c r="O80">
        <f t="shared" ca="1" si="27"/>
        <v>8.6203954299929393</v>
      </c>
      <c r="P80">
        <f t="shared" ca="1" si="28"/>
        <v>6.3076809999999996</v>
      </c>
      <c r="Q80" s="27" t="s">
        <v>247</v>
      </c>
      <c r="S80">
        <f t="shared" ca="1" si="29"/>
        <v>72</v>
      </c>
      <c r="T80">
        <f t="shared" ca="1" si="30"/>
        <v>70</v>
      </c>
      <c r="U80">
        <f t="shared" ca="1" si="31"/>
        <v>2</v>
      </c>
    </row>
    <row r="81" spans="1:21" x14ac:dyDescent="0.3">
      <c r="A81">
        <f t="shared" si="32"/>
        <v>73</v>
      </c>
      <c r="B81" t="s">
        <v>127</v>
      </c>
      <c r="C81">
        <f t="shared" ca="1" si="23"/>
        <v>0.4485767286268183</v>
      </c>
      <c r="D81">
        <f t="shared" ca="1" si="24"/>
        <v>0.80167553379484824</v>
      </c>
      <c r="E81" s="12">
        <f t="shared" ca="1" si="33"/>
        <v>75.39084630408999</v>
      </c>
      <c r="G81">
        <f t="shared" ca="1" si="25"/>
        <v>0.43636027040461933</v>
      </c>
      <c r="H81">
        <f t="shared" ca="1" si="26"/>
        <v>0.87807723273978844</v>
      </c>
      <c r="I81">
        <v>79.468755636341399</v>
      </c>
      <c r="K81" s="2" t="s">
        <v>127</v>
      </c>
      <c r="O81">
        <f t="shared" ca="1" si="27"/>
        <v>4.0779093322514086</v>
      </c>
      <c r="P81">
        <f t="shared" ca="1" si="28"/>
        <v>3.1998319999999998</v>
      </c>
      <c r="Q81" s="27" t="s">
        <v>247</v>
      </c>
      <c r="S81">
        <f t="shared" ca="1" si="29"/>
        <v>73</v>
      </c>
      <c r="T81">
        <f t="shared" ca="1" si="30"/>
        <v>70</v>
      </c>
      <c r="U81">
        <f t="shared" ca="1" si="31"/>
        <v>3</v>
      </c>
    </row>
    <row r="82" spans="1:21" x14ac:dyDescent="0.3">
      <c r="A82">
        <f t="shared" si="32"/>
        <v>74</v>
      </c>
      <c r="B82" t="s">
        <v>126</v>
      </c>
      <c r="C82">
        <f t="shared" ca="1" si="23"/>
        <v>0.81023636970479518</v>
      </c>
      <c r="D82">
        <f t="shared" ca="1" si="24"/>
        <v>0.2104292594348435</v>
      </c>
      <c r="E82" s="12">
        <f t="shared" ca="1" si="33"/>
        <v>75.601275563524837</v>
      </c>
      <c r="G82">
        <f t="shared" ca="1" si="25"/>
        <v>0.25175329497486099</v>
      </c>
      <c r="H82">
        <f t="shared" ca="1" si="26"/>
        <v>1.4280958233570746</v>
      </c>
      <c r="I82">
        <v>80.896851459698468</v>
      </c>
      <c r="K82" s="2" t="s">
        <v>126</v>
      </c>
      <c r="O82">
        <f t="shared" ca="1" si="27"/>
        <v>5.2955758961736308</v>
      </c>
      <c r="P82">
        <f t="shared" ca="1" si="28"/>
        <v>3.86748</v>
      </c>
      <c r="Q82" s="27" t="s">
        <v>247</v>
      </c>
      <c r="S82">
        <f t="shared" ca="1" si="29"/>
        <v>74</v>
      </c>
      <c r="T82">
        <f t="shared" ca="1" si="30"/>
        <v>70</v>
      </c>
      <c r="U82">
        <f t="shared" ca="1" si="31"/>
        <v>4</v>
      </c>
    </row>
    <row r="83" spans="1:21" x14ac:dyDescent="0.3">
      <c r="A83">
        <f t="shared" si="32"/>
        <v>75</v>
      </c>
      <c r="B83" t="s">
        <v>125</v>
      </c>
      <c r="C83">
        <f t="shared" ca="1" si="23"/>
        <v>0.36011599088524249</v>
      </c>
      <c r="D83">
        <f t="shared" ca="1" si="24"/>
        <v>1.0213291025228057</v>
      </c>
      <c r="E83" s="12">
        <f t="shared" ca="1" si="33"/>
        <v>76.622604666047636</v>
      </c>
      <c r="G83">
        <f t="shared" ca="1" si="25"/>
        <v>0.95703329549367733</v>
      </c>
      <c r="H83">
        <f t="shared" ca="1" si="26"/>
        <v>9.270726077438271E-2</v>
      </c>
      <c r="I83">
        <v>78.590678403601615</v>
      </c>
      <c r="K83" s="2" t="s">
        <v>128</v>
      </c>
      <c r="O83">
        <f t="shared" ca="1" si="27"/>
        <v>1.9680737375539792</v>
      </c>
      <c r="P83">
        <f t="shared" ca="1" si="28"/>
        <v>1.8753660000000001</v>
      </c>
      <c r="Q83" s="27" t="s">
        <v>247</v>
      </c>
      <c r="S83">
        <f t="shared" ca="1" si="29"/>
        <v>75</v>
      </c>
      <c r="T83">
        <f t="shared" ca="1" si="30"/>
        <v>70</v>
      </c>
      <c r="U83">
        <f t="shared" ca="1" si="31"/>
        <v>5</v>
      </c>
    </row>
    <row r="84" spans="1:21" x14ac:dyDescent="0.3">
      <c r="A84">
        <f t="shared" si="32"/>
        <v>76</v>
      </c>
      <c r="B84" t="s">
        <v>124</v>
      </c>
      <c r="C84">
        <f t="shared" ca="1" si="23"/>
        <v>1.2903319331954655E-2</v>
      </c>
      <c r="D84">
        <f t="shared" ca="1" si="24"/>
        <v>4.3502706881590836</v>
      </c>
      <c r="E84" s="12">
        <f t="shared" ca="1" si="33"/>
        <v>80.972875354206721</v>
      </c>
      <c r="G84">
        <f t="shared" ca="1" si="25"/>
        <v>0.24003566327033488</v>
      </c>
      <c r="H84">
        <f t="shared" ca="1" si="26"/>
        <v>1.4757579338892839</v>
      </c>
      <c r="I84">
        <v>86.727872302990747</v>
      </c>
      <c r="K84" s="2" t="s">
        <v>122</v>
      </c>
      <c r="O84">
        <f t="shared" ca="1" si="27"/>
        <v>5.7549969487840258</v>
      </c>
      <c r="P84">
        <f t="shared" ca="1" si="28"/>
        <v>4.2792389999999996</v>
      </c>
      <c r="Q84" s="27" t="s">
        <v>247</v>
      </c>
      <c r="S84">
        <f t="shared" ca="1" si="29"/>
        <v>76</v>
      </c>
      <c r="T84">
        <f t="shared" ca="1" si="30"/>
        <v>74</v>
      </c>
      <c r="U84">
        <f t="shared" ca="1" si="31"/>
        <v>2</v>
      </c>
    </row>
    <row r="85" spans="1:21" x14ac:dyDescent="0.3">
      <c r="A85">
        <f t="shared" si="32"/>
        <v>77</v>
      </c>
      <c r="B85" t="s">
        <v>123</v>
      </c>
      <c r="C85">
        <f t="shared" ca="1" si="23"/>
        <v>0.29399384013917595</v>
      </c>
      <c r="D85">
        <f t="shared" ca="1" si="24"/>
        <v>1.2241964637705145</v>
      </c>
      <c r="E85" s="12">
        <f t="shared" ca="1" si="33"/>
        <v>82.197071817977232</v>
      </c>
      <c r="G85">
        <f t="shared" ca="1" si="25"/>
        <v>0.63624439905787888</v>
      </c>
      <c r="H85">
        <f t="shared" ca="1" si="26"/>
        <v>0.50096267837803343</v>
      </c>
      <c r="I85">
        <v>84.106756147011964</v>
      </c>
      <c r="K85" s="2" t="s">
        <v>123</v>
      </c>
      <c r="O85">
        <f t="shared" ca="1" si="27"/>
        <v>1.9096843290347323</v>
      </c>
      <c r="P85">
        <f t="shared" ca="1" si="28"/>
        <v>1.408722</v>
      </c>
      <c r="Q85" s="27" t="s">
        <v>247</v>
      </c>
      <c r="S85">
        <f t="shared" ca="1" si="29"/>
        <v>77</v>
      </c>
      <c r="T85">
        <f t="shared" ca="1" si="30"/>
        <v>74</v>
      </c>
      <c r="U85">
        <f t="shared" ca="1" si="31"/>
        <v>3</v>
      </c>
    </row>
    <row r="86" spans="1:21" x14ac:dyDescent="0.3">
      <c r="A86">
        <f t="shared" si="32"/>
        <v>78</v>
      </c>
      <c r="B86" t="s">
        <v>122</v>
      </c>
      <c r="C86">
        <f t="shared" ca="1" si="23"/>
        <v>0.87545515294970278</v>
      </c>
      <c r="D86">
        <f t="shared" ca="1" si="24"/>
        <v>0.1330113530688751</v>
      </c>
      <c r="E86" s="12">
        <f t="shared" ca="1" si="33"/>
        <v>82.330083171046113</v>
      </c>
      <c r="G86">
        <f t="shared" ca="1" si="25"/>
        <v>0.70649644820814428</v>
      </c>
      <c r="H86">
        <f t="shared" ca="1" si="26"/>
        <v>0.39622726834585992</v>
      </c>
      <c r="I86">
        <v>83.605793468633934</v>
      </c>
      <c r="K86" s="2" t="s">
        <v>121</v>
      </c>
      <c r="O86">
        <f t="shared" ca="1" si="27"/>
        <v>1.2757102975878212</v>
      </c>
      <c r="P86">
        <f t="shared" ca="1" si="28"/>
        <v>0.87948300000000001</v>
      </c>
      <c r="Q86" s="27" t="s">
        <v>247</v>
      </c>
      <c r="S86">
        <f t="shared" ca="1" si="29"/>
        <v>78</v>
      </c>
      <c r="T86">
        <f t="shared" ca="1" si="30"/>
        <v>74</v>
      </c>
      <c r="U86">
        <f t="shared" ca="1" si="31"/>
        <v>4</v>
      </c>
    </row>
    <row r="87" spans="1:21" x14ac:dyDescent="0.3">
      <c r="A87">
        <f t="shared" si="32"/>
        <v>79</v>
      </c>
      <c r="B87" t="s">
        <v>121</v>
      </c>
      <c r="C87">
        <f t="shared" ca="1" si="23"/>
        <v>0.17941317478219432</v>
      </c>
      <c r="D87">
        <f t="shared" ca="1" si="24"/>
        <v>1.7180638940260422</v>
      </c>
      <c r="E87" s="12">
        <f t="shared" ca="1" si="33"/>
        <v>84.048147065072158</v>
      </c>
      <c r="G87">
        <f t="shared" ca="1" si="25"/>
        <v>0.33401544053740173</v>
      </c>
      <c r="H87">
        <f t="shared" ca="1" si="26"/>
        <v>1.1453582220895058</v>
      </c>
      <c r="I87">
        <v>85.252114369101463</v>
      </c>
      <c r="K87" s="2" t="s">
        <v>124</v>
      </c>
      <c r="O87">
        <f t="shared" ca="1" si="27"/>
        <v>1.2039673040293053</v>
      </c>
      <c r="P87">
        <f t="shared" ca="1" si="28"/>
        <v>5.8609000000000001E-2</v>
      </c>
      <c r="Q87" s="27" t="s">
        <v>247</v>
      </c>
      <c r="S87">
        <f t="shared" ca="1" si="29"/>
        <v>79</v>
      </c>
      <c r="T87">
        <f t="shared" ca="1" si="30"/>
        <v>76</v>
      </c>
      <c r="U87">
        <f t="shared" ca="1" si="31"/>
        <v>3</v>
      </c>
    </row>
    <row r="88" spans="1:21" x14ac:dyDescent="0.3">
      <c r="A88">
        <f t="shared" si="32"/>
        <v>80</v>
      </c>
      <c r="B88" t="s">
        <v>120</v>
      </c>
      <c r="C88">
        <f t="shared" ca="1" si="23"/>
        <v>0.29103309707052627</v>
      </c>
      <c r="D88">
        <f t="shared" ca="1" si="24"/>
        <v>1.2343182826405044</v>
      </c>
      <c r="E88" s="12">
        <f t="shared" ca="1" si="33"/>
        <v>85.282465347712659</v>
      </c>
      <c r="G88">
        <f t="shared" ca="1" si="25"/>
        <v>0.34347763149751587</v>
      </c>
      <c r="H88">
        <f t="shared" ca="1" si="26"/>
        <v>1.1174234529762892</v>
      </c>
      <c r="I88">
        <v>88.226468306863993</v>
      </c>
      <c r="K88" s="2" t="s">
        <v>119</v>
      </c>
      <c r="O88">
        <f t="shared" ca="1" si="27"/>
        <v>2.9440029591513337</v>
      </c>
      <c r="P88">
        <f t="shared" ca="1" si="28"/>
        <v>1.8265800000000001</v>
      </c>
      <c r="Q88" s="27" t="s">
        <v>247</v>
      </c>
      <c r="S88">
        <f t="shared" ca="1" si="29"/>
        <v>80</v>
      </c>
      <c r="T88">
        <f t="shared" ca="1" si="30"/>
        <v>78</v>
      </c>
      <c r="U88">
        <f t="shared" ca="1" si="31"/>
        <v>2</v>
      </c>
    </row>
    <row r="89" spans="1:21" x14ac:dyDescent="0.3">
      <c r="A89">
        <f t="shared" si="32"/>
        <v>81</v>
      </c>
      <c r="B89" t="s">
        <v>119</v>
      </c>
      <c r="C89">
        <f t="shared" ca="1" si="23"/>
        <v>0.76059105843118147</v>
      </c>
      <c r="D89">
        <f t="shared" ca="1" si="24"/>
        <v>0.27365943949820287</v>
      </c>
      <c r="E89" s="12">
        <f t="shared" ca="1" si="33"/>
        <v>85.556124787210862</v>
      </c>
      <c r="G89">
        <f t="shared" ca="1" si="25"/>
        <v>0.99019074966389664</v>
      </c>
      <c r="H89">
        <f t="shared" ca="1" si="26"/>
        <v>5.8647842154474036E-2</v>
      </c>
      <c r="I89">
        <v>86.786520145145218</v>
      </c>
      <c r="K89" s="2" t="s">
        <v>118</v>
      </c>
      <c r="O89">
        <f t="shared" ca="1" si="27"/>
        <v>1.2303953579343556</v>
      </c>
      <c r="P89">
        <f t="shared" ca="1" si="28"/>
        <v>1.171748</v>
      </c>
      <c r="Q89" s="27" t="s">
        <v>247</v>
      </c>
      <c r="S89">
        <f t="shared" ca="1" si="29"/>
        <v>81</v>
      </c>
      <c r="T89">
        <f t="shared" ca="1" si="30"/>
        <v>78</v>
      </c>
      <c r="U89">
        <f t="shared" ca="1" si="31"/>
        <v>3</v>
      </c>
    </row>
    <row r="90" spans="1:21" x14ac:dyDescent="0.3">
      <c r="A90">
        <f t="shared" si="32"/>
        <v>82</v>
      </c>
      <c r="B90" t="s">
        <v>118</v>
      </c>
      <c r="C90">
        <f t="shared" ca="1" si="23"/>
        <v>0.33029174556012642</v>
      </c>
      <c r="D90">
        <f t="shared" ca="1" si="24"/>
        <v>1.1077789376329787</v>
      </c>
      <c r="E90" s="12">
        <f t="shared" ca="1" si="33"/>
        <v>86.663903724843834</v>
      </c>
      <c r="G90">
        <f t="shared" ca="1" si="25"/>
        <v>0.76053393632790733</v>
      </c>
      <c r="H90">
        <f t="shared" ca="1" si="26"/>
        <v>0.32252470874249445</v>
      </c>
      <c r="I90">
        <v>87.10904485388771</v>
      </c>
      <c r="K90" s="2" t="s">
        <v>120</v>
      </c>
      <c r="O90">
        <f t="shared" ca="1" si="27"/>
        <v>0.44514112904387559</v>
      </c>
      <c r="P90">
        <f t="shared" ca="1" si="28"/>
        <v>0.122616</v>
      </c>
      <c r="Q90" s="27" t="s">
        <v>247</v>
      </c>
      <c r="S90">
        <f t="shared" ca="1" si="29"/>
        <v>82</v>
      </c>
      <c r="T90">
        <f t="shared" ca="1" si="30"/>
        <v>78</v>
      </c>
      <c r="U90">
        <f t="shared" ca="1" si="31"/>
        <v>4</v>
      </c>
    </row>
    <row r="91" spans="1:21" x14ac:dyDescent="0.3">
      <c r="A91">
        <f t="shared" si="32"/>
        <v>83</v>
      </c>
      <c r="B91" t="s">
        <v>117</v>
      </c>
      <c r="C91">
        <f t="shared" ca="1" si="23"/>
        <v>0.69010241532253347</v>
      </c>
      <c r="D91">
        <f t="shared" ca="1" si="24"/>
        <v>0.37091526440150657</v>
      </c>
      <c r="E91" s="12">
        <f t="shared" ca="1" si="33"/>
        <v>87.034818989245338</v>
      </c>
      <c r="G91">
        <f t="shared" ca="1" si="25"/>
        <v>0.13464777769057124</v>
      </c>
      <c r="H91">
        <f t="shared" ca="1" si="26"/>
        <v>2.0538831283705141</v>
      </c>
      <c r="I91">
        <v>90.280351435234508</v>
      </c>
      <c r="K91" s="2" t="s">
        <v>117</v>
      </c>
      <c r="O91">
        <f t="shared" ca="1" si="27"/>
        <v>3.2455324459891699</v>
      </c>
      <c r="P91">
        <f t="shared" ca="1" si="28"/>
        <v>1.191649</v>
      </c>
      <c r="Q91" s="27" t="s">
        <v>247</v>
      </c>
      <c r="S91">
        <f t="shared" ca="1" si="29"/>
        <v>83</v>
      </c>
      <c r="T91">
        <f t="shared" ca="1" si="30"/>
        <v>80</v>
      </c>
      <c r="U91">
        <f t="shared" ca="1" si="31"/>
        <v>3</v>
      </c>
    </row>
    <row r="92" spans="1:21" x14ac:dyDescent="0.3">
      <c r="A92">
        <f t="shared" si="32"/>
        <v>84</v>
      </c>
      <c r="B92" t="s">
        <v>116</v>
      </c>
      <c r="C92">
        <f t="shared" ca="1" si="23"/>
        <v>0.2776348302900451</v>
      </c>
      <c r="D92">
        <f t="shared" ca="1" si="24"/>
        <v>1.2814485888755647</v>
      </c>
      <c r="E92" s="12">
        <f t="shared" ca="1" si="33"/>
        <v>88.3162675781209</v>
      </c>
      <c r="G92">
        <f t="shared" ca="1" si="25"/>
        <v>0.88310540027080442</v>
      </c>
      <c r="H92">
        <f t="shared" ca="1" si="26"/>
        <v>0.17310088356607456</v>
      </c>
      <c r="I92">
        <v>90.453452318800586</v>
      </c>
      <c r="K92" s="2" t="s">
        <v>116</v>
      </c>
      <c r="O92">
        <f t="shared" ca="1" si="27"/>
        <v>2.137184740679686</v>
      </c>
      <c r="P92">
        <f t="shared" ca="1" si="28"/>
        <v>1.9640839999999999</v>
      </c>
      <c r="Q92" s="27" t="s">
        <v>247</v>
      </c>
      <c r="S92">
        <f t="shared" ca="1" si="29"/>
        <v>84</v>
      </c>
      <c r="T92">
        <f t="shared" ca="1" si="30"/>
        <v>82</v>
      </c>
      <c r="U92">
        <f t="shared" ca="1" si="31"/>
        <v>2</v>
      </c>
    </row>
    <row r="93" spans="1:21" x14ac:dyDescent="0.3">
      <c r="A93">
        <f t="shared" si="32"/>
        <v>85</v>
      </c>
      <c r="B93" t="s">
        <v>115</v>
      </c>
      <c r="C93">
        <f t="shared" ca="1" si="23"/>
        <v>0.80338036950912051</v>
      </c>
      <c r="D93">
        <f t="shared" ca="1" si="24"/>
        <v>0.21892699162343734</v>
      </c>
      <c r="E93" s="12">
        <f t="shared" ca="1" si="33"/>
        <v>88.535194569744334</v>
      </c>
      <c r="G93">
        <f t="shared" ca="1" si="25"/>
        <v>0.51751494383638563</v>
      </c>
      <c r="H93">
        <f t="shared" ca="1" si="26"/>
        <v>0.70750704145045384</v>
      </c>
      <c r="I93">
        <v>91.160959360251042</v>
      </c>
      <c r="K93" s="2" t="s">
        <v>115</v>
      </c>
      <c r="O93">
        <f t="shared" ca="1" si="27"/>
        <v>2.6257647905067074</v>
      </c>
      <c r="P93">
        <f t="shared" ca="1" si="28"/>
        <v>1.918258</v>
      </c>
      <c r="Q93" s="27" t="s">
        <v>247</v>
      </c>
      <c r="S93">
        <f t="shared" ca="1" si="29"/>
        <v>85</v>
      </c>
      <c r="T93">
        <f t="shared" ca="1" si="30"/>
        <v>82</v>
      </c>
      <c r="U93">
        <f t="shared" ca="1" si="31"/>
        <v>3</v>
      </c>
    </row>
    <row r="94" spans="1:21" x14ac:dyDescent="0.3">
      <c r="A94">
        <f t="shared" si="32"/>
        <v>86</v>
      </c>
      <c r="B94" t="s">
        <v>114</v>
      </c>
      <c r="C94">
        <f t="shared" ca="1" si="23"/>
        <v>7.9809619972459944E-2</v>
      </c>
      <c r="D94">
        <f t="shared" ca="1" si="24"/>
        <v>2.5281112307587335</v>
      </c>
      <c r="E94" s="12">
        <f t="shared" ca="1" si="33"/>
        <v>91.063305800503073</v>
      </c>
      <c r="G94">
        <f t="shared" ca="1" si="25"/>
        <v>0.42841624142920776</v>
      </c>
      <c r="H94">
        <f t="shared" ca="1" si="26"/>
        <v>0.89645019346372612</v>
      </c>
      <c r="I94">
        <v>92.057409553714763</v>
      </c>
      <c r="K94" s="2" t="s">
        <v>114</v>
      </c>
      <c r="O94">
        <f t="shared" ca="1" si="27"/>
        <v>0.99410375321168942</v>
      </c>
      <c r="P94">
        <f t="shared" ca="1" si="28"/>
        <v>9.7654000000000005E-2</v>
      </c>
      <c r="Q94" s="27" t="s">
        <v>247</v>
      </c>
      <c r="S94">
        <f t="shared" ca="1" si="29"/>
        <v>86</v>
      </c>
      <c r="T94">
        <f t="shared" ca="1" si="30"/>
        <v>84</v>
      </c>
      <c r="U94">
        <f t="shared" ca="1" si="31"/>
        <v>2</v>
      </c>
    </row>
    <row r="95" spans="1:21" x14ac:dyDescent="0.3">
      <c r="A95">
        <f t="shared" si="32"/>
        <v>87</v>
      </c>
      <c r="B95" t="s">
        <v>113</v>
      </c>
      <c r="C95">
        <f t="shared" ca="1" si="23"/>
        <v>0.78587770442424376</v>
      </c>
      <c r="D95">
        <f t="shared" ca="1" si="24"/>
        <v>0.24095409099424142</v>
      </c>
      <c r="E95" s="12">
        <f t="shared" ca="1" si="33"/>
        <v>91.30425989149731</v>
      </c>
      <c r="G95">
        <f t="shared" ca="1" si="25"/>
        <v>0.43338861292758946</v>
      </c>
      <c r="H95">
        <f t="shared" ca="1" si="26"/>
        <v>0.88491062821175648</v>
      </c>
      <c r="I95">
        <v>92.942320181926519</v>
      </c>
      <c r="K95" s="2" t="s">
        <v>113</v>
      </c>
      <c r="O95">
        <f t="shared" ca="1" si="27"/>
        <v>1.638060290429209</v>
      </c>
      <c r="P95">
        <f t="shared" ca="1" si="28"/>
        <v>0.75314999999999999</v>
      </c>
      <c r="Q95" s="27" t="s">
        <v>247</v>
      </c>
      <c r="S95">
        <f t="shared" ca="1" si="29"/>
        <v>87</v>
      </c>
      <c r="T95">
        <f t="shared" ca="1" si="30"/>
        <v>85</v>
      </c>
      <c r="U95">
        <f t="shared" ca="1" si="31"/>
        <v>2</v>
      </c>
    </row>
    <row r="96" spans="1:21" x14ac:dyDescent="0.3">
      <c r="A96">
        <f t="shared" si="32"/>
        <v>88</v>
      </c>
      <c r="B96" t="s">
        <v>112</v>
      </c>
      <c r="C96">
        <f t="shared" ca="1" si="23"/>
        <v>0.41668249914713895</v>
      </c>
      <c r="D96">
        <f t="shared" ca="1" si="24"/>
        <v>0.87543074012267041</v>
      </c>
      <c r="E96" s="12">
        <f t="shared" ca="1" si="33"/>
        <v>92.179690631619977</v>
      </c>
      <c r="G96">
        <f t="shared" ca="1" si="25"/>
        <v>0.34889700479345187</v>
      </c>
      <c r="H96">
        <f t="shared" ca="1" si="26"/>
        <v>1.1017686797092123</v>
      </c>
      <c r="I96">
        <v>94.919235496111909</v>
      </c>
      <c r="K96" s="2" t="s">
        <v>111</v>
      </c>
      <c r="O96">
        <f t="shared" ca="1" si="27"/>
        <v>2.7395448644919327</v>
      </c>
      <c r="P96">
        <f t="shared" ca="1" si="28"/>
        <v>1.6377759999999999</v>
      </c>
      <c r="Q96" s="27" t="s">
        <v>247</v>
      </c>
      <c r="S96">
        <f t="shared" ca="1" si="29"/>
        <v>88</v>
      </c>
      <c r="T96">
        <f t="shared" ca="1" si="30"/>
        <v>86</v>
      </c>
      <c r="U96">
        <f t="shared" ca="1" si="31"/>
        <v>2</v>
      </c>
    </row>
    <row r="97" spans="1:21" x14ac:dyDescent="0.3">
      <c r="A97">
        <f t="shared" si="32"/>
        <v>89</v>
      </c>
      <c r="B97" t="s">
        <v>111</v>
      </c>
      <c r="C97">
        <f t="shared" ca="1" si="23"/>
        <v>0.48181374222607354</v>
      </c>
      <c r="D97">
        <f t="shared" ca="1" si="24"/>
        <v>0.73019766653051776</v>
      </c>
      <c r="E97" s="12">
        <f t="shared" ca="1" si="33"/>
        <v>92.909888298150491</v>
      </c>
      <c r="G97">
        <f t="shared" ca="1" si="25"/>
        <v>0.5670576334731442</v>
      </c>
      <c r="H97">
        <f t="shared" ca="1" si="26"/>
        <v>0.61608449825234102</v>
      </c>
      <c r="I97">
        <v>93.558404680178853</v>
      </c>
      <c r="K97" s="2" t="s">
        <v>108</v>
      </c>
      <c r="O97">
        <f t="shared" ca="1" si="27"/>
        <v>0.6485163820283617</v>
      </c>
      <c r="P97">
        <f t="shared" ca="1" si="28"/>
        <v>3.2432000000000002E-2</v>
      </c>
      <c r="Q97" s="27" t="s">
        <v>247</v>
      </c>
      <c r="S97">
        <f t="shared" ca="1" si="29"/>
        <v>89</v>
      </c>
      <c r="T97">
        <f t="shared" ca="1" si="30"/>
        <v>86</v>
      </c>
      <c r="U97">
        <f t="shared" ca="1" si="31"/>
        <v>3</v>
      </c>
    </row>
    <row r="98" spans="1:21" x14ac:dyDescent="0.3">
      <c r="A98">
        <f t="shared" si="32"/>
        <v>90</v>
      </c>
      <c r="B98" t="s">
        <v>110</v>
      </c>
      <c r="C98">
        <f t="shared" ca="1" si="23"/>
        <v>0.96293954993726516</v>
      </c>
      <c r="D98">
        <f t="shared" ca="1" si="24"/>
        <v>3.7764641805111791E-2</v>
      </c>
      <c r="E98" s="12">
        <f t="shared" ca="1" si="33"/>
        <v>92.947652939955603</v>
      </c>
      <c r="G98">
        <f t="shared" ca="1" si="25"/>
        <v>0.17172911131847401</v>
      </c>
      <c r="H98">
        <f t="shared" ca="1" si="26"/>
        <v>1.8106271420455988</v>
      </c>
      <c r="I98">
        <v>102.86751307240706</v>
      </c>
      <c r="K98" s="2" t="s">
        <v>112</v>
      </c>
      <c r="O98">
        <f t="shared" ca="1" si="27"/>
        <v>9.9198601324514613</v>
      </c>
      <c r="P98">
        <f t="shared" ca="1" si="28"/>
        <v>8.1092329999999997</v>
      </c>
      <c r="Q98" s="27" t="s">
        <v>247</v>
      </c>
      <c r="S98">
        <f t="shared" ca="1" si="29"/>
        <v>90</v>
      </c>
      <c r="T98">
        <f t="shared" ca="1" si="30"/>
        <v>87</v>
      </c>
      <c r="U98">
        <f t="shared" ca="1" si="31"/>
        <v>3</v>
      </c>
    </row>
    <row r="99" spans="1:21" x14ac:dyDescent="0.3">
      <c r="A99">
        <f t="shared" si="32"/>
        <v>91</v>
      </c>
      <c r="B99" t="s">
        <v>109</v>
      </c>
      <c r="C99">
        <f t="shared" ca="1" si="23"/>
        <v>0.90883823208892023</v>
      </c>
      <c r="D99">
        <f t="shared" ca="1" si="24"/>
        <v>9.558816314030022E-2</v>
      </c>
      <c r="E99" s="12">
        <f t="shared" ca="1" si="33"/>
        <v>93.043241103095909</v>
      </c>
      <c r="G99">
        <f t="shared" ca="1" si="25"/>
        <v>0.19537618175879645</v>
      </c>
      <c r="H99">
        <f t="shared" ca="1" si="26"/>
        <v>1.6816186057587581</v>
      </c>
      <c r="I99">
        <v>96.600854101870667</v>
      </c>
      <c r="K99" s="2" t="s">
        <v>109</v>
      </c>
      <c r="O99">
        <f t="shared" ca="1" si="27"/>
        <v>3.5576129987747578</v>
      </c>
      <c r="P99">
        <f t="shared" ca="1" si="28"/>
        <v>1.8759939999999999</v>
      </c>
      <c r="Q99" s="27" t="s">
        <v>247</v>
      </c>
      <c r="S99">
        <f t="shared" ca="1" si="29"/>
        <v>91</v>
      </c>
      <c r="T99">
        <f t="shared" ca="1" si="30"/>
        <v>87</v>
      </c>
      <c r="U99">
        <f t="shared" ca="1" si="31"/>
        <v>4</v>
      </c>
    </row>
    <row r="100" spans="1:21" x14ac:dyDescent="0.3">
      <c r="A100">
        <f t="shared" si="32"/>
        <v>92</v>
      </c>
      <c r="B100" t="s">
        <v>108</v>
      </c>
      <c r="C100">
        <f t="shared" ca="1" si="23"/>
        <v>0.76816311735234788</v>
      </c>
      <c r="D100">
        <f t="shared" ca="1" si="24"/>
        <v>0.26375317600066484</v>
      </c>
      <c r="E100" s="12">
        <f t="shared" ca="1" si="33"/>
        <v>93.306994279096571</v>
      </c>
      <c r="G100">
        <f t="shared" ca="1" si="25"/>
        <v>0.81036381968378368</v>
      </c>
      <c r="H100">
        <f t="shared" ca="1" si="26"/>
        <v>0.25906213622385227</v>
      </c>
      <c r="I100">
        <v>93.8174668164027</v>
      </c>
      <c r="K100" s="2" t="s">
        <v>106</v>
      </c>
      <c r="O100">
        <f t="shared" ca="1" si="27"/>
        <v>0.51047253730612852</v>
      </c>
      <c r="P100">
        <f t="shared" ca="1" si="28"/>
        <v>0.25141000000000002</v>
      </c>
      <c r="Q100" s="27" t="s">
        <v>247</v>
      </c>
      <c r="S100">
        <f t="shared" ca="1" si="29"/>
        <v>92</v>
      </c>
      <c r="T100">
        <f t="shared" ca="1" si="30"/>
        <v>87</v>
      </c>
      <c r="U100">
        <f t="shared" ca="1" si="31"/>
        <v>5</v>
      </c>
    </row>
    <row r="101" spans="1:21" x14ac:dyDescent="0.3">
      <c r="A101">
        <f t="shared" si="32"/>
        <v>93</v>
      </c>
      <c r="B101" t="s">
        <v>107</v>
      </c>
      <c r="C101">
        <f t="shared" ca="1" si="23"/>
        <v>0.10279725824045505</v>
      </c>
      <c r="D101">
        <f t="shared" ca="1" si="24"/>
        <v>2.274996597129439</v>
      </c>
      <c r="E101" s="12">
        <f t="shared" ca="1" si="33"/>
        <v>95.581990876226016</v>
      </c>
      <c r="G101">
        <f t="shared" ca="1" si="25"/>
        <v>0.11210035483303082</v>
      </c>
      <c r="H101">
        <f t="shared" ca="1" si="26"/>
        <v>2.2371509477525873</v>
      </c>
      <c r="I101">
        <v>137.52456093129325</v>
      </c>
      <c r="K101" s="2" t="s">
        <v>104</v>
      </c>
      <c r="O101">
        <f t="shared" ca="1" si="27"/>
        <v>41.942570055067236</v>
      </c>
      <c r="P101">
        <f t="shared" ca="1" si="28"/>
        <v>39.705418999999999</v>
      </c>
      <c r="Q101" s="27" t="s">
        <v>247</v>
      </c>
      <c r="S101">
        <f t="shared" ca="1" si="29"/>
        <v>93</v>
      </c>
      <c r="T101">
        <f t="shared" ca="1" si="30"/>
        <v>90</v>
      </c>
      <c r="U101">
        <f t="shared" ca="1" si="31"/>
        <v>3</v>
      </c>
    </row>
    <row r="102" spans="1:21" x14ac:dyDescent="0.3">
      <c r="A102">
        <f t="shared" si="32"/>
        <v>94</v>
      </c>
      <c r="B102" t="s">
        <v>106</v>
      </c>
      <c r="C102">
        <f t="shared" ca="1" si="23"/>
        <v>0.52515604878402489</v>
      </c>
      <c r="D102">
        <f t="shared" ca="1" si="24"/>
        <v>0.6440598247772209</v>
      </c>
      <c r="E102" s="12">
        <f t="shared" ca="1" si="33"/>
        <v>96.226050701003231</v>
      </c>
      <c r="G102">
        <f t="shared" ca="1" si="25"/>
        <v>0.38778336231832899</v>
      </c>
      <c r="H102">
        <f t="shared" ca="1" si="26"/>
        <v>0.99609860400104311</v>
      </c>
      <c r="I102">
        <v>97.596952705871715</v>
      </c>
      <c r="K102" s="2" t="s">
        <v>101</v>
      </c>
      <c r="O102">
        <f t="shared" ca="1" si="27"/>
        <v>1.3709020048684835</v>
      </c>
      <c r="P102">
        <f t="shared" ca="1" si="28"/>
        <v>0.374803</v>
      </c>
      <c r="Q102" s="27" t="s">
        <v>247</v>
      </c>
      <c r="S102">
        <f t="shared" ca="1" si="29"/>
        <v>94</v>
      </c>
      <c r="T102">
        <f t="shared" ca="1" si="30"/>
        <v>90</v>
      </c>
      <c r="U102">
        <f t="shared" ca="1" si="31"/>
        <v>4</v>
      </c>
    </row>
    <row r="103" spans="1:21" x14ac:dyDescent="0.3">
      <c r="A103">
        <f t="shared" si="32"/>
        <v>95</v>
      </c>
      <c r="B103" t="s">
        <v>105</v>
      </c>
      <c r="C103">
        <f t="shared" ca="1" si="23"/>
        <v>0.6466916433589156</v>
      </c>
      <c r="D103">
        <f t="shared" ca="1" si="24"/>
        <v>0.43588569258785037</v>
      </c>
      <c r="E103" s="12">
        <f t="shared" ca="1" si="33"/>
        <v>96.661936393591077</v>
      </c>
      <c r="G103">
        <f t="shared" ca="1" si="25"/>
        <v>0.28456489426368625</v>
      </c>
      <c r="H103">
        <f t="shared" ca="1" si="26"/>
        <v>1.3055841162507651</v>
      </c>
      <c r="I103">
        <v>101.05688593036146</v>
      </c>
      <c r="K103" s="2" t="s">
        <v>99</v>
      </c>
      <c r="O103">
        <f t="shared" ca="1" si="27"/>
        <v>4.3949495367703832</v>
      </c>
      <c r="P103">
        <f t="shared" ca="1" si="28"/>
        <v>3.0893649999999999</v>
      </c>
      <c r="Q103" s="27" t="s">
        <v>247</v>
      </c>
      <c r="S103">
        <f t="shared" ca="1" si="29"/>
        <v>95</v>
      </c>
      <c r="T103">
        <f t="shared" ca="1" si="30"/>
        <v>91</v>
      </c>
      <c r="U103">
        <f t="shared" ca="1" si="31"/>
        <v>4</v>
      </c>
    </row>
    <row r="104" spans="1:21" x14ac:dyDescent="0.3">
      <c r="A104">
        <f t="shared" si="32"/>
        <v>96</v>
      </c>
      <c r="B104" t="s">
        <v>104</v>
      </c>
      <c r="C104">
        <f t="shared" ca="1" si="23"/>
        <v>0.91668390988974791</v>
      </c>
      <c r="D104">
        <f t="shared" ca="1" si="24"/>
        <v>8.6992566377734545E-2</v>
      </c>
      <c r="E104" s="12">
        <f t="shared" ca="1" si="33"/>
        <v>96.748928959968808</v>
      </c>
      <c r="G104">
        <f t="shared" ca="1" si="25"/>
        <v>0.86324675974454701</v>
      </c>
      <c r="H104">
        <f t="shared" ca="1" si="26"/>
        <v>0.19584486044246857</v>
      </c>
      <c r="I104">
        <v>97.792797566314178</v>
      </c>
      <c r="K104" s="2" t="s">
        <v>98</v>
      </c>
      <c r="O104">
        <f t="shared" ca="1" si="27"/>
        <v>1.0438686063453702</v>
      </c>
      <c r="P104">
        <f t="shared" ca="1" si="28"/>
        <v>0.848024</v>
      </c>
      <c r="Q104" s="27" t="s">
        <v>247</v>
      </c>
      <c r="S104">
        <f t="shared" ca="1" si="29"/>
        <v>96</v>
      </c>
      <c r="T104">
        <f t="shared" ca="1" si="30"/>
        <v>91</v>
      </c>
      <c r="U104">
        <f t="shared" ca="1" si="31"/>
        <v>5</v>
      </c>
    </row>
    <row r="105" spans="1:21" x14ac:dyDescent="0.3">
      <c r="A105">
        <f t="shared" si="32"/>
        <v>97</v>
      </c>
      <c r="B105" t="s">
        <v>103</v>
      </c>
      <c r="C105">
        <f t="shared" ca="1" si="23"/>
        <v>0.70257082333232501</v>
      </c>
      <c r="D105">
        <f t="shared" ref="D105:D136" ca="1" si="34">-LN($C105)*$E$2</f>
        <v>0.35300906672441734</v>
      </c>
      <c r="E105" s="12">
        <f t="shared" ca="1" si="33"/>
        <v>97.101938026693219</v>
      </c>
      <c r="G105">
        <f t="shared" ca="1" si="25"/>
        <v>0.16683045292967758</v>
      </c>
      <c r="H105">
        <f t="shared" ref="H105:H136" ca="1" si="35">-LN($G105*$I$2)</f>
        <v>1.8395673983702259</v>
      </c>
      <c r="I105">
        <v>105.13701113657525</v>
      </c>
      <c r="K105" s="2" t="s">
        <v>105</v>
      </c>
      <c r="O105">
        <f t="shared" ref="O105:O136" ca="1" si="36">$I105-$E105</f>
        <v>8.0350731098820347</v>
      </c>
      <c r="P105">
        <f t="shared" ref="P105:P136" ca="1" si="37">MAX(0, ROUND($O105-$H105, 6))</f>
        <v>6.195506</v>
      </c>
      <c r="Q105" s="27" t="s">
        <v>247</v>
      </c>
      <c r="S105">
        <f t="shared" ref="S105:S136" ca="1" si="38">COUNTIF($E$9:$E$208, "&lt;=" &amp;$E105)</f>
        <v>97</v>
      </c>
      <c r="T105">
        <f t="shared" ref="T105:T136" ca="1" si="39">COUNTIF($I$9:$I$208, "&lt;=" &amp;$E105)</f>
        <v>91</v>
      </c>
      <c r="U105">
        <f t="shared" ref="U105:U136" ca="1" si="40">$S105-$T105</f>
        <v>6</v>
      </c>
    </row>
    <row r="106" spans="1:21" x14ac:dyDescent="0.3">
      <c r="A106">
        <f t="shared" si="32"/>
        <v>98</v>
      </c>
      <c r="B106" t="s">
        <v>102</v>
      </c>
      <c r="C106">
        <f t="shared" ca="1" si="23"/>
        <v>0.90285428767758436</v>
      </c>
      <c r="D106">
        <f t="shared" ca="1" si="34"/>
        <v>0.10219410328396998</v>
      </c>
      <c r="E106" s="12">
        <f t="shared" ca="1" si="33"/>
        <v>97.204132129977182</v>
      </c>
      <c r="G106">
        <f t="shared" ca="1" si="25"/>
        <v>0.14434350822150621</v>
      </c>
      <c r="H106">
        <f t="shared" ca="1" si="35"/>
        <v>1.9843495105408853</v>
      </c>
      <c r="I106">
        <v>109.22176273546543</v>
      </c>
      <c r="K106" s="2" t="s">
        <v>110</v>
      </c>
      <c r="O106">
        <f t="shared" ca="1" si="36"/>
        <v>12.01763060548825</v>
      </c>
      <c r="P106">
        <f t="shared" ca="1" si="37"/>
        <v>10.033281000000001</v>
      </c>
      <c r="Q106" s="27" t="s">
        <v>247</v>
      </c>
      <c r="S106">
        <f t="shared" ca="1" si="38"/>
        <v>98</v>
      </c>
      <c r="T106">
        <f t="shared" ca="1" si="39"/>
        <v>91</v>
      </c>
      <c r="U106">
        <f t="shared" ca="1" si="40"/>
        <v>7</v>
      </c>
    </row>
    <row r="107" spans="1:21" x14ac:dyDescent="0.3">
      <c r="A107">
        <f t="shared" si="32"/>
        <v>99</v>
      </c>
      <c r="B107" t="s">
        <v>101</v>
      </c>
      <c r="C107">
        <f t="shared" ca="1" si="23"/>
        <v>0.77630796134934488</v>
      </c>
      <c r="D107">
        <f t="shared" ca="1" si="34"/>
        <v>0.25320598011704198</v>
      </c>
      <c r="E107" s="12">
        <f t="shared" ca="1" si="33"/>
        <v>97.457338110094227</v>
      </c>
      <c r="G107">
        <f t="shared" ca="1" si="25"/>
        <v>0.46428382464588258</v>
      </c>
      <c r="H107">
        <f t="shared" ca="1" si="35"/>
        <v>0.81604938688486539</v>
      </c>
      <c r="I107">
        <v>98.608846953199048</v>
      </c>
      <c r="K107" s="2" t="s">
        <v>97</v>
      </c>
      <c r="O107">
        <f t="shared" ca="1" si="36"/>
        <v>1.1515088431048213</v>
      </c>
      <c r="P107">
        <f t="shared" ca="1" si="37"/>
        <v>0.33545900000000001</v>
      </c>
      <c r="Q107" s="27" t="s">
        <v>247</v>
      </c>
      <c r="S107">
        <f t="shared" ca="1" si="38"/>
        <v>99</v>
      </c>
      <c r="T107">
        <f t="shared" ca="1" si="39"/>
        <v>91</v>
      </c>
      <c r="U107">
        <f t="shared" ca="1" si="40"/>
        <v>8</v>
      </c>
    </row>
    <row r="108" spans="1:21" x14ac:dyDescent="0.3">
      <c r="A108">
        <f t="shared" si="32"/>
        <v>100</v>
      </c>
      <c r="B108" t="s">
        <v>100</v>
      </c>
      <c r="C108">
        <f t="shared" ca="1" si="23"/>
        <v>0.5494589809616347</v>
      </c>
      <c r="D108">
        <f t="shared" ca="1" si="34"/>
        <v>0.5988211558562675</v>
      </c>
      <c r="E108" s="12">
        <f t="shared" ca="1" si="33"/>
        <v>98.056159265950498</v>
      </c>
      <c r="G108">
        <f t="shared" ca="1" si="25"/>
        <v>0.11653221859494667</v>
      </c>
      <c r="H108">
        <f t="shared" ca="1" si="35"/>
        <v>2.1983776539168889</v>
      </c>
      <c r="I108">
        <v>111.42014038938233</v>
      </c>
      <c r="K108" s="2" t="s">
        <v>103</v>
      </c>
      <c r="O108">
        <f t="shared" ca="1" si="36"/>
        <v>13.363981123431827</v>
      </c>
      <c r="P108">
        <f t="shared" ca="1" si="37"/>
        <v>11.165603000000001</v>
      </c>
      <c r="Q108" s="27" t="s">
        <v>247</v>
      </c>
      <c r="S108">
        <f t="shared" ca="1" si="38"/>
        <v>100</v>
      </c>
      <c r="T108">
        <f t="shared" ca="1" si="39"/>
        <v>93</v>
      </c>
      <c r="U108">
        <f t="shared" ca="1" si="40"/>
        <v>7</v>
      </c>
    </row>
    <row r="109" spans="1:21" x14ac:dyDescent="0.3">
      <c r="A109">
        <f t="shared" si="32"/>
        <v>101</v>
      </c>
      <c r="B109" t="s">
        <v>99</v>
      </c>
      <c r="C109">
        <f t="shared" ca="1" si="23"/>
        <v>0.89981726794842276</v>
      </c>
      <c r="D109">
        <f t="shared" ca="1" si="34"/>
        <v>0.10556357188521032</v>
      </c>
      <c r="E109" s="12">
        <f t="shared" ca="1" si="33"/>
        <v>98.161722837835711</v>
      </c>
      <c r="G109">
        <f t="shared" ca="1" si="25"/>
        <v>0.72775842160356974</v>
      </c>
      <c r="H109">
        <f t="shared" ca="1" si="35"/>
        <v>0.36657628848208212</v>
      </c>
      <c r="I109">
        <v>98.975423241681128</v>
      </c>
      <c r="K109" s="2" t="s">
        <v>96</v>
      </c>
      <c r="O109">
        <f t="shared" ca="1" si="36"/>
        <v>0.81370040384541653</v>
      </c>
      <c r="P109">
        <f t="shared" ca="1" si="37"/>
        <v>0.44712400000000002</v>
      </c>
      <c r="Q109" s="27" t="s">
        <v>247</v>
      </c>
      <c r="S109">
        <f t="shared" ca="1" si="38"/>
        <v>101</v>
      </c>
      <c r="T109">
        <f t="shared" ca="1" si="39"/>
        <v>93</v>
      </c>
      <c r="U109">
        <f t="shared" ca="1" si="40"/>
        <v>8</v>
      </c>
    </row>
    <row r="110" spans="1:21" x14ac:dyDescent="0.3">
      <c r="A110">
        <f t="shared" si="32"/>
        <v>102</v>
      </c>
      <c r="B110" t="s">
        <v>98</v>
      </c>
      <c r="C110">
        <f t="shared" ca="1" si="23"/>
        <v>0.59601767309251952</v>
      </c>
      <c r="D110">
        <f t="shared" ca="1" si="34"/>
        <v>0.51748495951662621</v>
      </c>
      <c r="E110" s="12">
        <f t="shared" ca="1" si="33"/>
        <v>98.679207797352333</v>
      </c>
      <c r="G110">
        <f t="shared" ca="1" si="25"/>
        <v>0.48331415696858038</v>
      </c>
      <c r="H110">
        <f t="shared" ca="1" si="35"/>
        <v>0.77587857242956171</v>
      </c>
      <c r="I110">
        <v>99.75130181411069</v>
      </c>
      <c r="K110" s="2" t="s">
        <v>94</v>
      </c>
      <c r="O110">
        <f t="shared" ca="1" si="36"/>
        <v>1.0720940167583564</v>
      </c>
      <c r="P110">
        <f t="shared" ca="1" si="37"/>
        <v>0.29621500000000001</v>
      </c>
      <c r="Q110" s="27" t="s">
        <v>247</v>
      </c>
      <c r="S110">
        <f t="shared" ca="1" si="38"/>
        <v>102</v>
      </c>
      <c r="T110">
        <f t="shared" ca="1" si="39"/>
        <v>94</v>
      </c>
      <c r="U110">
        <f t="shared" ca="1" si="40"/>
        <v>8</v>
      </c>
    </row>
    <row r="111" spans="1:21" x14ac:dyDescent="0.3">
      <c r="A111">
        <f t="shared" si="32"/>
        <v>103</v>
      </c>
      <c r="B111" t="s">
        <v>97</v>
      </c>
      <c r="C111">
        <f t="shared" ca="1" si="23"/>
        <v>1.9907514661909098E-2</v>
      </c>
      <c r="D111">
        <f t="shared" ca="1" si="34"/>
        <v>3.9166579973311699</v>
      </c>
      <c r="E111" s="12">
        <f t="shared" ca="1" si="33"/>
        <v>102.5958657946835</v>
      </c>
      <c r="G111">
        <f t="shared" ca="1" si="25"/>
        <v>0.6830819087567237</v>
      </c>
      <c r="H111">
        <f t="shared" ca="1" si="35"/>
        <v>0.42993066579796274</v>
      </c>
      <c r="I111">
        <v>103.29744373820503</v>
      </c>
      <c r="K111" s="2" t="s">
        <v>93</v>
      </c>
      <c r="O111">
        <f t="shared" ca="1" si="36"/>
        <v>0.70157794352152791</v>
      </c>
      <c r="P111">
        <f t="shared" ca="1" si="37"/>
        <v>0.27164700000000003</v>
      </c>
      <c r="Q111" s="27" t="s">
        <v>247</v>
      </c>
      <c r="S111">
        <f t="shared" ca="1" si="38"/>
        <v>103</v>
      </c>
      <c r="T111">
        <f t="shared" ca="1" si="39"/>
        <v>97</v>
      </c>
      <c r="U111">
        <f t="shared" ca="1" si="40"/>
        <v>6</v>
      </c>
    </row>
    <row r="112" spans="1:21" x14ac:dyDescent="0.3">
      <c r="A112">
        <f t="shared" si="32"/>
        <v>104</v>
      </c>
      <c r="B112" t="s">
        <v>96</v>
      </c>
      <c r="C112">
        <f t="shared" ca="1" si="23"/>
        <v>0.1276042902363812</v>
      </c>
      <c r="D112">
        <f t="shared" ca="1" si="34"/>
        <v>2.0588212860945001</v>
      </c>
      <c r="E112" s="12">
        <f t="shared" ca="1" si="33"/>
        <v>104.654687080778</v>
      </c>
      <c r="G112">
        <f t="shared" ca="1" si="25"/>
        <v>0.5011213229226279</v>
      </c>
      <c r="H112">
        <f t="shared" ca="1" si="35"/>
        <v>0.73969720986086163</v>
      </c>
      <c r="I112">
        <v>105.87670834643612</v>
      </c>
      <c r="K112" s="2" t="s">
        <v>95</v>
      </c>
      <c r="O112">
        <f t="shared" ca="1" si="36"/>
        <v>1.222021265658114</v>
      </c>
      <c r="P112">
        <f t="shared" ca="1" si="37"/>
        <v>0.48232399999999997</v>
      </c>
      <c r="Q112" s="27" t="s">
        <v>247</v>
      </c>
      <c r="S112">
        <f t="shared" ca="1" si="38"/>
        <v>104</v>
      </c>
      <c r="T112">
        <f t="shared" ca="1" si="39"/>
        <v>99</v>
      </c>
      <c r="U112">
        <f t="shared" ca="1" si="40"/>
        <v>5</v>
      </c>
    </row>
    <row r="113" spans="1:21" x14ac:dyDescent="0.3">
      <c r="A113">
        <f t="shared" si="32"/>
        <v>105</v>
      </c>
      <c r="B113" t="s">
        <v>95</v>
      </c>
      <c r="C113">
        <f t="shared" ca="1" si="23"/>
        <v>0.42679197999420171</v>
      </c>
      <c r="D113">
        <f t="shared" ca="1" si="34"/>
        <v>0.85145855074748922</v>
      </c>
      <c r="E113" s="12">
        <f t="shared" ca="1" si="33"/>
        <v>105.5061456315255</v>
      </c>
      <c r="G113">
        <f t="shared" ca="1" si="25"/>
        <v>0.40874936188473909</v>
      </c>
      <c r="H113">
        <f t="shared" ca="1" si="35"/>
        <v>0.94344328207957751</v>
      </c>
      <c r="I113">
        <v>107.23741322492455</v>
      </c>
      <c r="K113" s="2" t="s">
        <v>102</v>
      </c>
      <c r="O113">
        <f t="shared" ca="1" si="36"/>
        <v>1.7312675933990533</v>
      </c>
      <c r="P113">
        <f t="shared" ca="1" si="37"/>
        <v>0.78782399999999997</v>
      </c>
      <c r="Q113" s="27" t="s">
        <v>247</v>
      </c>
      <c r="S113">
        <f t="shared" ca="1" si="38"/>
        <v>105</v>
      </c>
      <c r="T113">
        <f t="shared" ca="1" si="39"/>
        <v>100</v>
      </c>
      <c r="U113">
        <f t="shared" ca="1" si="40"/>
        <v>5</v>
      </c>
    </row>
    <row r="114" spans="1:21" x14ac:dyDescent="0.3">
      <c r="A114">
        <f t="shared" si="32"/>
        <v>106</v>
      </c>
      <c r="B114" t="s">
        <v>94</v>
      </c>
      <c r="C114">
        <f t="shared" ca="1" si="23"/>
        <v>0.75782424721589525</v>
      </c>
      <c r="D114">
        <f t="shared" ca="1" si="34"/>
        <v>0.27730378405561207</v>
      </c>
      <c r="E114" s="12">
        <f t="shared" ca="1" si="33"/>
        <v>105.78344941558112</v>
      </c>
      <c r="G114">
        <f t="shared" ca="1" si="25"/>
        <v>0.79336069683832122</v>
      </c>
      <c r="H114">
        <f t="shared" ca="1" si="35"/>
        <v>0.28026747393597745</v>
      </c>
      <c r="I114">
        <v>106.1569758203721</v>
      </c>
      <c r="K114" s="2" t="s">
        <v>100</v>
      </c>
      <c r="O114">
        <f t="shared" ca="1" si="36"/>
        <v>0.37352640479097943</v>
      </c>
      <c r="P114">
        <f t="shared" ca="1" si="37"/>
        <v>9.3258999999999995E-2</v>
      </c>
      <c r="Q114" s="27" t="s">
        <v>247</v>
      </c>
      <c r="S114">
        <f t="shared" ca="1" si="38"/>
        <v>106</v>
      </c>
      <c r="T114">
        <f t="shared" ca="1" si="39"/>
        <v>100</v>
      </c>
      <c r="U114">
        <f t="shared" ca="1" si="40"/>
        <v>6</v>
      </c>
    </row>
    <row r="115" spans="1:21" x14ac:dyDescent="0.3">
      <c r="A115">
        <f t="shared" si="32"/>
        <v>107</v>
      </c>
      <c r="B115" t="s">
        <v>93</v>
      </c>
      <c r="C115">
        <f t="shared" ca="1" si="23"/>
        <v>0.78612627766044774</v>
      </c>
      <c r="D115">
        <f t="shared" ca="1" si="34"/>
        <v>0.24063784085606291</v>
      </c>
      <c r="E115" s="12">
        <f t="shared" ca="1" si="33"/>
        <v>106.02408725643718</v>
      </c>
      <c r="G115">
        <f t="shared" ca="1" si="25"/>
        <v>0.91557411873461536</v>
      </c>
      <c r="H115">
        <f t="shared" ca="1" si="35"/>
        <v>0.13699412247287826</v>
      </c>
      <c r="I115">
        <v>106.29396994284498</v>
      </c>
      <c r="K115" s="2" t="s">
        <v>92</v>
      </c>
      <c r="O115">
        <f t="shared" ca="1" si="36"/>
        <v>0.26988268640779722</v>
      </c>
      <c r="P115">
        <f t="shared" ca="1" si="37"/>
        <v>0.13288900000000001</v>
      </c>
      <c r="Q115" s="27" t="s">
        <v>247</v>
      </c>
      <c r="S115">
        <f t="shared" ca="1" si="38"/>
        <v>107</v>
      </c>
      <c r="T115">
        <f t="shared" ca="1" si="39"/>
        <v>101</v>
      </c>
      <c r="U115">
        <f t="shared" ca="1" si="40"/>
        <v>6</v>
      </c>
    </row>
    <row r="116" spans="1:21" x14ac:dyDescent="0.3">
      <c r="A116">
        <f t="shared" si="32"/>
        <v>108</v>
      </c>
      <c r="B116" t="s">
        <v>92</v>
      </c>
      <c r="C116">
        <f t="shared" ca="1" si="23"/>
        <v>2.1995507196890363E-2</v>
      </c>
      <c r="D116">
        <f t="shared" ca="1" si="34"/>
        <v>3.8169170648023876</v>
      </c>
      <c r="E116" s="12">
        <f t="shared" ca="1" si="33"/>
        <v>109.84100432123957</v>
      </c>
      <c r="G116">
        <f t="shared" ca="1" si="25"/>
        <v>0.79881001169240651</v>
      </c>
      <c r="H116">
        <f t="shared" ca="1" si="35"/>
        <v>0.27342230827281999</v>
      </c>
      <c r="I116">
        <v>111.69356269765514</v>
      </c>
      <c r="K116" s="2" t="s">
        <v>91</v>
      </c>
      <c r="O116">
        <f t="shared" ca="1" si="36"/>
        <v>1.8525583764155726</v>
      </c>
      <c r="P116">
        <f t="shared" ca="1" si="37"/>
        <v>1.5791360000000001</v>
      </c>
      <c r="Q116" s="27" t="s">
        <v>247</v>
      </c>
      <c r="S116">
        <f t="shared" ca="1" si="38"/>
        <v>108</v>
      </c>
      <c r="T116">
        <f t="shared" ca="1" si="39"/>
        <v>105</v>
      </c>
      <c r="U116">
        <f t="shared" ca="1" si="40"/>
        <v>3</v>
      </c>
    </row>
    <row r="117" spans="1:21" x14ac:dyDescent="0.3">
      <c r="A117">
        <f t="shared" si="32"/>
        <v>109</v>
      </c>
      <c r="B117" t="s">
        <v>91</v>
      </c>
      <c r="C117">
        <f t="shared" ca="1" si="23"/>
        <v>0.59650321567943743</v>
      </c>
      <c r="D117">
        <f t="shared" ca="1" si="34"/>
        <v>0.51667064654597727</v>
      </c>
      <c r="E117" s="12">
        <f t="shared" ca="1" si="33"/>
        <v>110.35767496778554</v>
      </c>
      <c r="G117">
        <f t="shared" ca="1" si="25"/>
        <v>0.13456357666804641</v>
      </c>
      <c r="H117">
        <f t="shared" ca="1" si="35"/>
        <v>2.054508666810162</v>
      </c>
      <c r="I117">
        <v>113.7480713644653</v>
      </c>
      <c r="K117" s="2" t="s">
        <v>85</v>
      </c>
      <c r="O117">
        <f t="shared" ca="1" si="36"/>
        <v>3.3903963966797619</v>
      </c>
      <c r="P117">
        <f t="shared" ca="1" si="37"/>
        <v>1.335888</v>
      </c>
      <c r="Q117" s="27" t="s">
        <v>247</v>
      </c>
      <c r="S117">
        <f t="shared" ca="1" si="38"/>
        <v>109</v>
      </c>
      <c r="T117">
        <f t="shared" ca="1" si="39"/>
        <v>105</v>
      </c>
      <c r="U117">
        <f t="shared" ca="1" si="40"/>
        <v>4</v>
      </c>
    </row>
    <row r="118" spans="1:21" x14ac:dyDescent="0.3">
      <c r="A118">
        <f t="shared" si="32"/>
        <v>110</v>
      </c>
      <c r="B118" t="s">
        <v>90</v>
      </c>
      <c r="C118">
        <f t="shared" ca="1" si="23"/>
        <v>0.40565479151247164</v>
      </c>
      <c r="D118">
        <f t="shared" ca="1" si="34"/>
        <v>0.90225274827326241</v>
      </c>
      <c r="E118" s="12">
        <f t="shared" ca="1" si="33"/>
        <v>111.2599277160588</v>
      </c>
      <c r="G118">
        <f t="shared" ca="1" si="25"/>
        <v>1.092033992949959E-2</v>
      </c>
      <c r="H118">
        <f t="shared" ca="1" si="35"/>
        <v>4.5659183442442561</v>
      </c>
      <c r="I118">
        <v>178.93676725226092</v>
      </c>
      <c r="K118" s="2" t="s">
        <v>84</v>
      </c>
      <c r="O118">
        <f t="shared" ca="1" si="36"/>
        <v>67.676839536202124</v>
      </c>
      <c r="P118">
        <f t="shared" ca="1" si="37"/>
        <v>63.110920999999998</v>
      </c>
      <c r="Q118" s="27" t="s">
        <v>247</v>
      </c>
      <c r="S118">
        <f t="shared" ca="1" si="38"/>
        <v>110</v>
      </c>
      <c r="T118">
        <f t="shared" ca="1" si="39"/>
        <v>105</v>
      </c>
      <c r="U118">
        <f t="shared" ca="1" si="40"/>
        <v>5</v>
      </c>
    </row>
    <row r="119" spans="1:21" x14ac:dyDescent="0.3">
      <c r="A119">
        <f t="shared" si="32"/>
        <v>111</v>
      </c>
      <c r="B119" t="s">
        <v>89</v>
      </c>
      <c r="C119">
        <f t="shared" ca="1" si="23"/>
        <v>0.25249755183422917</v>
      </c>
      <c r="D119">
        <f t="shared" ca="1" si="34"/>
        <v>1.3763537260197494</v>
      </c>
      <c r="E119" s="12">
        <f t="shared" ca="1" si="33"/>
        <v>112.63628144207854</v>
      </c>
      <c r="G119">
        <f t="shared" ca="1" si="25"/>
        <v>0.13442352895876364</v>
      </c>
      <c r="H119">
        <f t="shared" ca="1" si="35"/>
        <v>2.0555499637274313</v>
      </c>
      <c r="I119">
        <v>132.52085680470492</v>
      </c>
      <c r="K119" s="2" t="s">
        <v>87</v>
      </c>
      <c r="O119">
        <f t="shared" ca="1" si="36"/>
        <v>19.884575362626379</v>
      </c>
      <c r="P119">
        <f t="shared" ca="1" si="37"/>
        <v>17.829025000000001</v>
      </c>
      <c r="Q119" s="27" t="s">
        <v>247</v>
      </c>
      <c r="S119">
        <f t="shared" ca="1" si="38"/>
        <v>111</v>
      </c>
      <c r="T119">
        <f t="shared" ca="1" si="39"/>
        <v>107</v>
      </c>
      <c r="U119">
        <f t="shared" ca="1" si="40"/>
        <v>4</v>
      </c>
    </row>
    <row r="120" spans="1:21" x14ac:dyDescent="0.3">
      <c r="A120">
        <f t="shared" si="32"/>
        <v>112</v>
      </c>
      <c r="B120" t="s">
        <v>88</v>
      </c>
      <c r="C120">
        <f t="shared" ca="1" si="23"/>
        <v>0.81842459668552048</v>
      </c>
      <c r="D120">
        <f t="shared" ca="1" si="34"/>
        <v>0.20037401019527495</v>
      </c>
      <c r="E120" s="12">
        <f t="shared" ca="1" si="33"/>
        <v>112.83665545227382</v>
      </c>
      <c r="G120">
        <f t="shared" ca="1" si="25"/>
        <v>0.16009107971603009</v>
      </c>
      <c r="H120">
        <f t="shared" ca="1" si="35"/>
        <v>1.8808025416528642</v>
      </c>
      <c r="I120">
        <v>124.3855716569429</v>
      </c>
      <c r="K120" s="2" t="s">
        <v>83</v>
      </c>
      <c r="O120">
        <f t="shared" ca="1" si="36"/>
        <v>11.548916204669084</v>
      </c>
      <c r="P120">
        <f t="shared" ca="1" si="37"/>
        <v>9.6681139999999992</v>
      </c>
      <c r="Q120" s="27" t="s">
        <v>247</v>
      </c>
      <c r="S120">
        <f t="shared" ca="1" si="38"/>
        <v>112</v>
      </c>
      <c r="T120">
        <f t="shared" ca="1" si="39"/>
        <v>107</v>
      </c>
      <c r="U120">
        <f t="shared" ca="1" si="40"/>
        <v>5</v>
      </c>
    </row>
    <row r="121" spans="1:21" x14ac:dyDescent="0.3">
      <c r="A121">
        <f t="shared" si="32"/>
        <v>113</v>
      </c>
      <c r="B121" t="s">
        <v>87</v>
      </c>
      <c r="C121">
        <f t="shared" ca="1" si="23"/>
        <v>0.92335526484317976</v>
      </c>
      <c r="D121">
        <f t="shared" ca="1" si="34"/>
        <v>7.9741216213209815E-2</v>
      </c>
      <c r="E121" s="12">
        <f t="shared" ca="1" si="33"/>
        <v>112.91639666848702</v>
      </c>
      <c r="G121">
        <f t="shared" ca="1" si="25"/>
        <v>0.22362976915662269</v>
      </c>
      <c r="H121">
        <f t="shared" ca="1" si="35"/>
        <v>1.5465535749693331</v>
      </c>
      <c r="I121">
        <v>116.32077533095816</v>
      </c>
      <c r="K121" s="2" t="s">
        <v>86</v>
      </c>
      <c r="O121">
        <f t="shared" ca="1" si="36"/>
        <v>3.4043786624711316</v>
      </c>
      <c r="P121">
        <f t="shared" ca="1" si="37"/>
        <v>1.8578250000000001</v>
      </c>
      <c r="Q121" s="27" t="s">
        <v>247</v>
      </c>
      <c r="S121">
        <f t="shared" ca="1" si="38"/>
        <v>113</v>
      </c>
      <c r="T121">
        <f t="shared" ca="1" si="39"/>
        <v>107</v>
      </c>
      <c r="U121">
        <f t="shared" ca="1" si="40"/>
        <v>6</v>
      </c>
    </row>
    <row r="122" spans="1:21" x14ac:dyDescent="0.3">
      <c r="A122">
        <f t="shared" si="32"/>
        <v>114</v>
      </c>
      <c r="B122" t="s">
        <v>86</v>
      </c>
      <c r="C122">
        <f t="shared" ca="1" si="23"/>
        <v>0.48983001349838506</v>
      </c>
      <c r="D122">
        <f t="shared" ca="1" si="34"/>
        <v>0.71369685929287052</v>
      </c>
      <c r="E122" s="12">
        <f t="shared" ca="1" si="33"/>
        <v>113.63009352777989</v>
      </c>
      <c r="G122">
        <f t="shared" ca="1" si="25"/>
        <v>0.19463838644948339</v>
      </c>
      <c r="H122">
        <f t="shared" ca="1" si="35"/>
        <v>1.6854020346331697</v>
      </c>
      <c r="I122">
        <v>118.48212240721243</v>
      </c>
      <c r="K122" s="2" t="s">
        <v>81</v>
      </c>
      <c r="O122">
        <f t="shared" ca="1" si="36"/>
        <v>4.8520288794325381</v>
      </c>
      <c r="P122">
        <f t="shared" ca="1" si="37"/>
        <v>3.1666270000000001</v>
      </c>
      <c r="Q122" s="27" t="s">
        <v>247</v>
      </c>
      <c r="S122">
        <f t="shared" ca="1" si="38"/>
        <v>114</v>
      </c>
      <c r="T122">
        <f t="shared" ca="1" si="39"/>
        <v>107</v>
      </c>
      <c r="U122">
        <f t="shared" ca="1" si="40"/>
        <v>7</v>
      </c>
    </row>
    <row r="123" spans="1:21" x14ac:dyDescent="0.3">
      <c r="A123">
        <f t="shared" si="32"/>
        <v>115</v>
      </c>
      <c r="B123" t="s">
        <v>85</v>
      </c>
      <c r="C123">
        <f t="shared" ca="1" si="23"/>
        <v>0.91599486178285916</v>
      </c>
      <c r="D123">
        <f t="shared" ca="1" si="34"/>
        <v>8.7744523731098562E-2</v>
      </c>
      <c r="E123" s="12">
        <f t="shared" ca="1" si="33"/>
        <v>113.717838051511</v>
      </c>
      <c r="G123">
        <f t="shared" ca="1" si="25"/>
        <v>0.48938272454722709</v>
      </c>
      <c r="H123">
        <f t="shared" ca="1" si="35"/>
        <v>0.76340059201566912</v>
      </c>
      <c r="I123">
        <v>114.51147195648097</v>
      </c>
      <c r="K123" s="2" t="s">
        <v>79</v>
      </c>
      <c r="O123">
        <f t="shared" ca="1" si="36"/>
        <v>0.79363390496997965</v>
      </c>
      <c r="P123">
        <f t="shared" ca="1" si="37"/>
        <v>3.0232999999999999E-2</v>
      </c>
      <c r="Q123" s="27" t="s">
        <v>247</v>
      </c>
      <c r="S123">
        <f t="shared" ca="1" si="38"/>
        <v>115</v>
      </c>
      <c r="T123">
        <f t="shared" ca="1" si="39"/>
        <v>107</v>
      </c>
      <c r="U123">
        <f t="shared" ca="1" si="40"/>
        <v>8</v>
      </c>
    </row>
    <row r="124" spans="1:21" x14ac:dyDescent="0.3">
      <c r="A124">
        <f t="shared" si="32"/>
        <v>116</v>
      </c>
      <c r="B124" t="s">
        <v>84</v>
      </c>
      <c r="C124">
        <f t="shared" ca="1" si="23"/>
        <v>0.8380240161746394</v>
      </c>
      <c r="D124">
        <f t="shared" ca="1" si="34"/>
        <v>0.17670851999109558</v>
      </c>
      <c r="E124" s="12">
        <f t="shared" ca="1" si="33"/>
        <v>113.89454657150209</v>
      </c>
      <c r="G124">
        <f t="shared" ca="1" si="25"/>
        <v>0.80738097402474118</v>
      </c>
      <c r="H124">
        <f t="shared" ca="1" si="35"/>
        <v>0.26274979950784766</v>
      </c>
      <c r="I124">
        <v>114.77422175598882</v>
      </c>
      <c r="K124" s="2" t="s">
        <v>80</v>
      </c>
      <c r="O124">
        <f t="shared" ca="1" si="36"/>
        <v>0.87967518448672877</v>
      </c>
      <c r="P124">
        <f t="shared" ca="1" si="37"/>
        <v>0.61692499999999995</v>
      </c>
      <c r="Q124" s="27" t="s">
        <v>247</v>
      </c>
      <c r="S124">
        <f t="shared" ca="1" si="38"/>
        <v>116</v>
      </c>
      <c r="T124">
        <f t="shared" ca="1" si="39"/>
        <v>108</v>
      </c>
      <c r="U124">
        <f t="shared" ca="1" si="40"/>
        <v>8</v>
      </c>
    </row>
    <row r="125" spans="1:21" x14ac:dyDescent="0.3">
      <c r="A125">
        <f t="shared" si="32"/>
        <v>117</v>
      </c>
      <c r="B125" t="s">
        <v>83</v>
      </c>
      <c r="C125">
        <f t="shared" ca="1" si="23"/>
        <v>0.32430142748234414</v>
      </c>
      <c r="D125">
        <f t="shared" ca="1" si="34"/>
        <v>1.1260818639445278</v>
      </c>
      <c r="E125" s="12">
        <f t="shared" ca="1" si="33"/>
        <v>115.02062843544662</v>
      </c>
      <c r="G125">
        <f t="shared" ca="1" si="25"/>
        <v>0.65236250816055019</v>
      </c>
      <c r="H125">
        <f t="shared" ca="1" si="35"/>
        <v>0.47594504162110124</v>
      </c>
      <c r="I125">
        <v>116.79672037257926</v>
      </c>
      <c r="K125" s="2" t="s">
        <v>78</v>
      </c>
      <c r="O125">
        <f t="shared" ca="1" si="36"/>
        <v>1.7760919371326338</v>
      </c>
      <c r="P125">
        <f t="shared" ca="1" si="37"/>
        <v>1.3001469999999999</v>
      </c>
      <c r="Q125" s="27" t="s">
        <v>247</v>
      </c>
      <c r="S125">
        <f t="shared" ca="1" si="38"/>
        <v>117</v>
      </c>
      <c r="T125">
        <f t="shared" ca="1" si="39"/>
        <v>110</v>
      </c>
      <c r="U125">
        <f t="shared" ca="1" si="40"/>
        <v>7</v>
      </c>
    </row>
    <row r="126" spans="1:21" x14ac:dyDescent="0.3">
      <c r="A126">
        <f t="shared" si="32"/>
        <v>118</v>
      </c>
      <c r="B126" t="s">
        <v>82</v>
      </c>
      <c r="C126">
        <f t="shared" ca="1" si="23"/>
        <v>0.10410635923102074</v>
      </c>
      <c r="D126">
        <f t="shared" ca="1" si="34"/>
        <v>2.2623422175130563</v>
      </c>
      <c r="E126" s="12">
        <f t="shared" ca="1" si="33"/>
        <v>117.28297065295968</v>
      </c>
      <c r="G126">
        <f t="shared" ca="1" si="25"/>
        <v>0.14800318001209767</v>
      </c>
      <c r="H126">
        <f t="shared" ca="1" si="35"/>
        <v>1.9593116830500594</v>
      </c>
      <c r="I126">
        <v>129.194814944624</v>
      </c>
      <c r="K126" s="2" t="s">
        <v>77</v>
      </c>
      <c r="O126">
        <f t="shared" ca="1" si="36"/>
        <v>11.911844291664323</v>
      </c>
      <c r="P126">
        <f t="shared" ca="1" si="37"/>
        <v>9.9525330000000007</v>
      </c>
      <c r="Q126" s="27" t="s">
        <v>247</v>
      </c>
      <c r="S126">
        <f t="shared" ca="1" si="38"/>
        <v>118</v>
      </c>
      <c r="T126">
        <f t="shared" ca="1" si="39"/>
        <v>112</v>
      </c>
      <c r="U126">
        <f t="shared" ca="1" si="40"/>
        <v>6</v>
      </c>
    </row>
    <row r="127" spans="1:21" x14ac:dyDescent="0.3">
      <c r="A127">
        <f t="shared" si="32"/>
        <v>119</v>
      </c>
      <c r="B127" t="s">
        <v>81</v>
      </c>
      <c r="C127">
        <f t="shared" ca="1" si="23"/>
        <v>0.91543742062669153</v>
      </c>
      <c r="D127">
        <f t="shared" ca="1" si="34"/>
        <v>8.8353272608942643E-2</v>
      </c>
      <c r="E127" s="12">
        <f t="shared" ca="1" si="33"/>
        <v>117.37132392556862</v>
      </c>
      <c r="G127">
        <f t="shared" ca="1" si="25"/>
        <v>0.96133591863164547</v>
      </c>
      <c r="H127">
        <f t="shared" ca="1" si="35"/>
        <v>8.8221544134496649E-2</v>
      </c>
      <c r="I127">
        <v>118.57034395134693</v>
      </c>
      <c r="K127" s="2" t="s">
        <v>88</v>
      </c>
      <c r="O127">
        <f t="shared" ca="1" si="36"/>
        <v>1.1990200257783101</v>
      </c>
      <c r="P127">
        <f t="shared" ca="1" si="37"/>
        <v>1.110798</v>
      </c>
      <c r="Q127" s="27" t="s">
        <v>247</v>
      </c>
      <c r="S127">
        <f t="shared" ca="1" si="38"/>
        <v>119</v>
      </c>
      <c r="T127">
        <f t="shared" ca="1" si="39"/>
        <v>112</v>
      </c>
      <c r="U127">
        <f t="shared" ca="1" si="40"/>
        <v>7</v>
      </c>
    </row>
    <row r="128" spans="1:21" x14ac:dyDescent="0.3">
      <c r="A128">
        <f t="shared" si="32"/>
        <v>120</v>
      </c>
      <c r="B128" t="s">
        <v>80</v>
      </c>
      <c r="C128">
        <f t="shared" ca="1" si="23"/>
        <v>0.53909729664847605</v>
      </c>
      <c r="D128">
        <f t="shared" ca="1" si="34"/>
        <v>0.61785921110121966</v>
      </c>
      <c r="E128" s="12">
        <f t="shared" ca="1" si="33"/>
        <v>117.98918313666984</v>
      </c>
      <c r="G128">
        <f t="shared" ca="1" si="25"/>
        <v>0.36923756130426666</v>
      </c>
      <c r="H128">
        <f t="shared" ca="1" si="35"/>
        <v>1.0451052086872576</v>
      </c>
      <c r="I128">
        <v>120.4608773037688</v>
      </c>
      <c r="K128" s="2" t="s">
        <v>74</v>
      </c>
      <c r="O128">
        <f t="shared" ca="1" si="36"/>
        <v>2.4716941670989598</v>
      </c>
      <c r="P128">
        <f t="shared" ca="1" si="37"/>
        <v>1.4265890000000001</v>
      </c>
      <c r="Q128" s="27" t="s">
        <v>247</v>
      </c>
      <c r="S128">
        <f t="shared" ca="1" si="38"/>
        <v>120</v>
      </c>
      <c r="T128">
        <f t="shared" ca="1" si="39"/>
        <v>112</v>
      </c>
      <c r="U128">
        <f t="shared" ca="1" si="40"/>
        <v>8</v>
      </c>
    </row>
    <row r="129" spans="1:21" x14ac:dyDescent="0.3">
      <c r="A129">
        <f t="shared" si="32"/>
        <v>121</v>
      </c>
      <c r="B129" t="s">
        <v>79</v>
      </c>
      <c r="C129">
        <f t="shared" ca="1" si="23"/>
        <v>0.84102820070471995</v>
      </c>
      <c r="D129">
        <f t="shared" ca="1" si="34"/>
        <v>0.17313008722332385</v>
      </c>
      <c r="E129" s="12">
        <f t="shared" ca="1" si="33"/>
        <v>118.16231322389316</v>
      </c>
      <c r="G129">
        <f t="shared" ca="1" si="25"/>
        <v>0.45084215954819773</v>
      </c>
      <c r="H129">
        <f t="shared" ca="1" si="35"/>
        <v>0.84542814373460373</v>
      </c>
      <c r="I129">
        <v>119.41577209508154</v>
      </c>
      <c r="K129" s="2" t="s">
        <v>75</v>
      </c>
      <c r="O129">
        <f t="shared" ca="1" si="36"/>
        <v>1.2534588711883714</v>
      </c>
      <c r="P129">
        <f t="shared" ca="1" si="37"/>
        <v>0.40803099999999998</v>
      </c>
      <c r="Q129" s="27" t="s">
        <v>247</v>
      </c>
      <c r="S129">
        <f t="shared" ca="1" si="38"/>
        <v>121</v>
      </c>
      <c r="T129">
        <f t="shared" ca="1" si="39"/>
        <v>112</v>
      </c>
      <c r="U129">
        <f t="shared" ca="1" si="40"/>
        <v>9</v>
      </c>
    </row>
    <row r="130" spans="1:21" x14ac:dyDescent="0.3">
      <c r="A130">
        <f t="shared" si="32"/>
        <v>122</v>
      </c>
      <c r="B130" t="s">
        <v>78</v>
      </c>
      <c r="C130">
        <f t="shared" ca="1" si="23"/>
        <v>0.23273768816010287</v>
      </c>
      <c r="D130">
        <f t="shared" ca="1" si="34"/>
        <v>1.4578432614953794</v>
      </c>
      <c r="E130" s="12">
        <f t="shared" ca="1" si="33"/>
        <v>119.62015648538855</v>
      </c>
      <c r="G130">
        <f t="shared" ca="1" si="25"/>
        <v>0.46299017311579005</v>
      </c>
      <c r="H130">
        <f t="shared" ca="1" si="35"/>
        <v>0.81883961366251901</v>
      </c>
      <c r="I130">
        <v>121.27971691743132</v>
      </c>
      <c r="K130" s="2" t="s">
        <v>73</v>
      </c>
      <c r="O130">
        <f t="shared" ca="1" si="36"/>
        <v>1.6595604320427668</v>
      </c>
      <c r="P130">
        <f t="shared" ca="1" si="37"/>
        <v>0.84072100000000005</v>
      </c>
      <c r="Q130" s="27" t="s">
        <v>247</v>
      </c>
      <c r="S130">
        <f t="shared" ca="1" si="38"/>
        <v>122</v>
      </c>
      <c r="T130">
        <f t="shared" ca="1" si="39"/>
        <v>115</v>
      </c>
      <c r="U130">
        <f t="shared" ca="1" si="40"/>
        <v>7</v>
      </c>
    </row>
    <row r="131" spans="1:21" x14ac:dyDescent="0.3">
      <c r="A131">
        <f t="shared" si="32"/>
        <v>123</v>
      </c>
      <c r="B131" t="s">
        <v>77</v>
      </c>
      <c r="C131">
        <f t="shared" ca="1" si="23"/>
        <v>0.32387791065578597</v>
      </c>
      <c r="D131">
        <f t="shared" ca="1" si="34"/>
        <v>1.127388653167537</v>
      </c>
      <c r="E131" s="12">
        <f t="shared" ca="1" si="33"/>
        <v>120.74754513855609</v>
      </c>
      <c r="G131">
        <f t="shared" ca="1" si="25"/>
        <v>0.30842948556081518</v>
      </c>
      <c r="H131">
        <f t="shared" ca="1" si="35"/>
        <v>1.2250521978587154</v>
      </c>
      <c r="I131">
        <v>122.50476911529003</v>
      </c>
      <c r="K131" s="2" t="s">
        <v>82</v>
      </c>
      <c r="O131">
        <f t="shared" ca="1" si="36"/>
        <v>1.7572239767339397</v>
      </c>
      <c r="P131">
        <f t="shared" ca="1" si="37"/>
        <v>0.53217199999999998</v>
      </c>
      <c r="Q131" s="27" t="s">
        <v>247</v>
      </c>
      <c r="S131">
        <f t="shared" ca="1" si="38"/>
        <v>123</v>
      </c>
      <c r="T131">
        <f t="shared" ca="1" si="39"/>
        <v>116</v>
      </c>
      <c r="U131">
        <f t="shared" ca="1" si="40"/>
        <v>7</v>
      </c>
    </row>
    <row r="132" spans="1:21" x14ac:dyDescent="0.3">
      <c r="A132">
        <f t="shared" si="32"/>
        <v>124</v>
      </c>
      <c r="B132" t="s">
        <v>76</v>
      </c>
      <c r="C132">
        <f t="shared" ca="1" si="23"/>
        <v>0.46744290777362019</v>
      </c>
      <c r="D132">
        <f t="shared" ca="1" si="34"/>
        <v>0.76047806012031249</v>
      </c>
      <c r="E132" s="12">
        <f t="shared" ca="1" si="33"/>
        <v>121.5080231986764</v>
      </c>
      <c r="G132">
        <f t="shared" ca="1" si="25"/>
        <v>4.3377840030420223E-2</v>
      </c>
      <c r="H132">
        <f t="shared" ca="1" si="35"/>
        <v>3.1865967308223655</v>
      </c>
      <c r="I132">
        <v>152.93501107014816</v>
      </c>
      <c r="K132" s="2" t="s">
        <v>71</v>
      </c>
      <c r="O132">
        <f t="shared" ca="1" si="36"/>
        <v>31.426987871471766</v>
      </c>
      <c r="P132">
        <f t="shared" ca="1" si="37"/>
        <v>28.240390999999999</v>
      </c>
      <c r="Q132" s="27" t="s">
        <v>247</v>
      </c>
      <c r="S132">
        <f t="shared" ca="1" si="38"/>
        <v>124</v>
      </c>
      <c r="T132">
        <f t="shared" ca="1" si="39"/>
        <v>117</v>
      </c>
      <c r="U132">
        <f t="shared" ca="1" si="40"/>
        <v>7</v>
      </c>
    </row>
    <row r="133" spans="1:21" x14ac:dyDescent="0.3">
      <c r="A133">
        <f t="shared" si="32"/>
        <v>125</v>
      </c>
      <c r="B133" t="s">
        <v>75</v>
      </c>
      <c r="C133">
        <f t="shared" ca="1" si="23"/>
        <v>0.10928519618745258</v>
      </c>
      <c r="D133">
        <f t="shared" ca="1" si="34"/>
        <v>2.2137943349905598</v>
      </c>
      <c r="E133" s="12">
        <f t="shared" ca="1" si="33"/>
        <v>123.72181753366695</v>
      </c>
      <c r="G133">
        <f t="shared" ca="1" si="25"/>
        <v>0.19594876645782555</v>
      </c>
      <c r="H133">
        <f t="shared" ca="1" si="35"/>
        <v>1.6786922137141815</v>
      </c>
      <c r="I133">
        <v>126.45725177559719</v>
      </c>
      <c r="K133" s="2" t="s">
        <v>70</v>
      </c>
      <c r="O133">
        <f t="shared" ca="1" si="36"/>
        <v>2.7354342419302355</v>
      </c>
      <c r="P133">
        <f t="shared" ca="1" si="37"/>
        <v>1.0567420000000001</v>
      </c>
      <c r="Q133" s="27" t="s">
        <v>247</v>
      </c>
      <c r="S133">
        <f t="shared" ca="1" si="38"/>
        <v>125</v>
      </c>
      <c r="T133">
        <f t="shared" ca="1" si="39"/>
        <v>118</v>
      </c>
      <c r="U133">
        <f t="shared" ca="1" si="40"/>
        <v>7</v>
      </c>
    </row>
    <row r="134" spans="1:21" x14ac:dyDescent="0.3">
      <c r="A134">
        <f t="shared" si="32"/>
        <v>126</v>
      </c>
      <c r="B134" t="s">
        <v>74</v>
      </c>
      <c r="C134">
        <f t="shared" ca="1" si="23"/>
        <v>0.77041220706344604</v>
      </c>
      <c r="D134">
        <f t="shared" ca="1" si="34"/>
        <v>0.26082957352582248</v>
      </c>
      <c r="E134" s="12">
        <f t="shared" ca="1" si="33"/>
        <v>123.98264710719278</v>
      </c>
      <c r="G134">
        <f t="shared" ca="1" si="25"/>
        <v>0.70878875775607364</v>
      </c>
      <c r="H134">
        <f t="shared" ca="1" si="35"/>
        <v>0.39298790494010494</v>
      </c>
      <c r="I134">
        <v>124.778559561883</v>
      </c>
      <c r="K134" s="2" t="s">
        <v>72</v>
      </c>
      <c r="O134">
        <f t="shared" ca="1" si="36"/>
        <v>0.79591245469022454</v>
      </c>
      <c r="P134">
        <f t="shared" ca="1" si="37"/>
        <v>0.40292499999999998</v>
      </c>
      <c r="Q134" s="27" t="s">
        <v>247</v>
      </c>
      <c r="S134">
        <f t="shared" ca="1" si="38"/>
        <v>126</v>
      </c>
      <c r="T134">
        <f t="shared" ca="1" si="39"/>
        <v>118</v>
      </c>
      <c r="U134">
        <f t="shared" ca="1" si="40"/>
        <v>8</v>
      </c>
    </row>
    <row r="135" spans="1:21" x14ac:dyDescent="0.3">
      <c r="A135">
        <f t="shared" si="32"/>
        <v>127</v>
      </c>
      <c r="B135" t="s">
        <v>73</v>
      </c>
      <c r="C135">
        <f t="shared" ca="1" si="23"/>
        <v>0.35488396050425774</v>
      </c>
      <c r="D135">
        <f t="shared" ca="1" si="34"/>
        <v>1.0359644147599509</v>
      </c>
      <c r="E135" s="12">
        <f t="shared" ca="1" si="33"/>
        <v>125.01861152195272</v>
      </c>
      <c r="G135">
        <f t="shared" ca="1" si="25"/>
        <v>0.48216865388535357</v>
      </c>
      <c r="H135">
        <f t="shared" ca="1" si="35"/>
        <v>0.77825148597675176</v>
      </c>
      <c r="I135">
        <v>127.23550326157394</v>
      </c>
      <c r="K135" s="2" t="s">
        <v>89</v>
      </c>
      <c r="O135">
        <f t="shared" ca="1" si="36"/>
        <v>2.216891739621218</v>
      </c>
      <c r="P135">
        <f t="shared" ca="1" si="37"/>
        <v>1.4386399999999999</v>
      </c>
      <c r="Q135" s="27" t="s">
        <v>247</v>
      </c>
      <c r="S135">
        <f t="shared" ca="1" si="38"/>
        <v>127</v>
      </c>
      <c r="T135">
        <f t="shared" ca="1" si="39"/>
        <v>120</v>
      </c>
      <c r="U135">
        <f t="shared" ca="1" si="40"/>
        <v>7</v>
      </c>
    </row>
    <row r="136" spans="1:21" x14ac:dyDescent="0.3">
      <c r="A136">
        <f t="shared" si="32"/>
        <v>128</v>
      </c>
      <c r="B136" t="s">
        <v>72</v>
      </c>
      <c r="C136">
        <f t="shared" ca="1" si="23"/>
        <v>7.532975593061042E-2</v>
      </c>
      <c r="D136">
        <f t="shared" ca="1" si="34"/>
        <v>2.5858800571522993</v>
      </c>
      <c r="E136" s="12">
        <f t="shared" ca="1" si="33"/>
        <v>127.60449157910502</v>
      </c>
      <c r="G136">
        <f t="shared" ca="1" si="25"/>
        <v>0.64059982674031024</v>
      </c>
      <c r="H136">
        <f t="shared" ca="1" si="35"/>
        <v>0.49414047644125247</v>
      </c>
      <c r="I136">
        <v>130.46530684097749</v>
      </c>
      <c r="K136" s="2" t="s">
        <v>69</v>
      </c>
      <c r="O136">
        <f t="shared" ca="1" si="36"/>
        <v>2.8608152618724745</v>
      </c>
      <c r="P136">
        <f t="shared" ca="1" si="37"/>
        <v>2.3666749999999999</v>
      </c>
      <c r="Q136" s="27" t="s">
        <v>247</v>
      </c>
      <c r="S136">
        <f t="shared" ca="1" si="38"/>
        <v>128</v>
      </c>
      <c r="T136">
        <f t="shared" ca="1" si="39"/>
        <v>122</v>
      </c>
      <c r="U136">
        <f t="shared" ca="1" si="40"/>
        <v>6</v>
      </c>
    </row>
    <row r="137" spans="1:21" x14ac:dyDescent="0.3">
      <c r="A137">
        <f t="shared" si="32"/>
        <v>129</v>
      </c>
      <c r="B137" t="s">
        <v>71</v>
      </c>
      <c r="C137">
        <f t="shared" ref="C137:C200" ca="1" si="41">RAND()</f>
        <v>0.48270954541124012</v>
      </c>
      <c r="D137">
        <f t="shared" ref="D137:D168" ca="1" si="42">-LN($C137)*$E$2</f>
        <v>0.72834016147238978</v>
      </c>
      <c r="E137" s="12">
        <f t="shared" ca="1" si="33"/>
        <v>128.3328317405774</v>
      </c>
      <c r="G137">
        <f t="shared" ref="G137:G200" ca="1" si="43">RAND()</f>
        <v>0.6875748916628196</v>
      </c>
      <c r="H137">
        <f t="shared" ref="H137:H168" ca="1" si="44">-LN($G137*$I$2)</f>
        <v>0.42337468621590929</v>
      </c>
      <c r="I137">
        <v>129.61818963083991</v>
      </c>
      <c r="K137" s="2" t="s">
        <v>68</v>
      </c>
      <c r="O137">
        <f t="shared" ref="O137:O168" ca="1" si="45">$I137-$E137</f>
        <v>1.2853578902625031</v>
      </c>
      <c r="P137">
        <f t="shared" ref="P137:P168" ca="1" si="46">MAX(0, ROUND($O137-$H137, 6))</f>
        <v>0.86198300000000005</v>
      </c>
      <c r="Q137" s="27" t="s">
        <v>247</v>
      </c>
      <c r="S137">
        <f t="shared" ref="S137:S168" ca="1" si="47">COUNTIF($E$9:$E$208, "&lt;=" &amp;$E137)</f>
        <v>129</v>
      </c>
      <c r="T137">
        <f t="shared" ref="T137:T168" ca="1" si="48">COUNTIF($I$9:$I$208, "&lt;=" &amp;$E137)</f>
        <v>122</v>
      </c>
      <c r="U137">
        <f t="shared" ref="U137:U168" ca="1" si="49">$S137-$T137</f>
        <v>7</v>
      </c>
    </row>
    <row r="138" spans="1:21" x14ac:dyDescent="0.3">
      <c r="A138">
        <f t="shared" ref="A138:A201" si="50">1+$A137</f>
        <v>130</v>
      </c>
      <c r="B138" t="s">
        <v>70</v>
      </c>
      <c r="C138">
        <f t="shared" ca="1" si="41"/>
        <v>0.38949761097223046</v>
      </c>
      <c r="D138">
        <f t="shared" ca="1" si="42"/>
        <v>0.94289754726593289</v>
      </c>
      <c r="E138" s="12">
        <f t="shared" ref="E138:E201" ca="1" si="51">$E137+$D138</f>
        <v>129.27572928784335</v>
      </c>
      <c r="G138">
        <f t="shared" ca="1" si="43"/>
        <v>0.73772321693882659</v>
      </c>
      <c r="H138">
        <f t="shared" ca="1" si="44"/>
        <v>0.35297673369632432</v>
      </c>
      <c r="I138">
        <v>129.97116636453623</v>
      </c>
      <c r="K138" s="2" t="s">
        <v>67</v>
      </c>
      <c r="O138">
        <f t="shared" ca="1" si="45"/>
        <v>0.69543707669288324</v>
      </c>
      <c r="P138">
        <f t="shared" ca="1" si="46"/>
        <v>0.34245999999999999</v>
      </c>
      <c r="Q138" s="27" t="s">
        <v>247</v>
      </c>
      <c r="S138">
        <f t="shared" ca="1" si="47"/>
        <v>130</v>
      </c>
      <c r="T138">
        <f t="shared" ca="1" si="48"/>
        <v>123</v>
      </c>
      <c r="U138">
        <f t="shared" ca="1" si="49"/>
        <v>7</v>
      </c>
    </row>
    <row r="139" spans="1:21" x14ac:dyDescent="0.3">
      <c r="A139">
        <f t="shared" si="50"/>
        <v>131</v>
      </c>
      <c r="B139" t="s">
        <v>69</v>
      </c>
      <c r="C139">
        <f t="shared" ca="1" si="41"/>
        <v>3.916608475240746E-2</v>
      </c>
      <c r="D139">
        <f t="shared" ca="1" si="42"/>
        <v>3.2399440915617466</v>
      </c>
      <c r="E139" s="12">
        <f t="shared" ca="1" si="51"/>
        <v>132.51567337940509</v>
      </c>
      <c r="G139">
        <f t="shared" ca="1" si="43"/>
        <v>0.62917633852241506</v>
      </c>
      <c r="H139">
        <f t="shared" ca="1" si="44"/>
        <v>0.51213387832869683</v>
      </c>
      <c r="I139">
        <v>133.0329906830336</v>
      </c>
      <c r="K139" s="2" t="s">
        <v>107</v>
      </c>
      <c r="O139">
        <f t="shared" ca="1" si="45"/>
        <v>0.51731730362851636</v>
      </c>
      <c r="P139">
        <f t="shared" ca="1" si="46"/>
        <v>5.1830000000000001E-3</v>
      </c>
      <c r="Q139" s="27" t="s">
        <v>247</v>
      </c>
      <c r="S139">
        <f t="shared" ca="1" si="47"/>
        <v>131</v>
      </c>
      <c r="T139">
        <f t="shared" ca="1" si="48"/>
        <v>126</v>
      </c>
      <c r="U139">
        <f t="shared" ca="1" si="49"/>
        <v>5</v>
      </c>
    </row>
    <row r="140" spans="1:21" x14ac:dyDescent="0.3">
      <c r="A140">
        <f t="shared" si="50"/>
        <v>132</v>
      </c>
      <c r="B140" t="s">
        <v>68</v>
      </c>
      <c r="C140">
        <f t="shared" ca="1" si="41"/>
        <v>0.60619004731068149</v>
      </c>
      <c r="D140">
        <f t="shared" ca="1" si="42"/>
        <v>0.50056173265441217</v>
      </c>
      <c r="E140" s="12">
        <f t="shared" ca="1" si="51"/>
        <v>133.01623511205949</v>
      </c>
      <c r="G140">
        <f t="shared" ca="1" si="43"/>
        <v>0.22639165372671766</v>
      </c>
      <c r="H140">
        <f t="shared" ca="1" si="44"/>
        <v>1.5342789626667528</v>
      </c>
      <c r="I140">
        <v>134.56726964570035</v>
      </c>
      <c r="K140" s="2" t="s">
        <v>65</v>
      </c>
      <c r="O140">
        <f t="shared" ca="1" si="45"/>
        <v>1.5510345336408591</v>
      </c>
      <c r="P140">
        <f t="shared" ca="1" si="46"/>
        <v>1.6756E-2</v>
      </c>
      <c r="Q140" s="27" t="s">
        <v>247</v>
      </c>
      <c r="S140">
        <f t="shared" ca="1" si="47"/>
        <v>132</v>
      </c>
      <c r="T140">
        <f t="shared" ca="1" si="48"/>
        <v>127</v>
      </c>
      <c r="U140">
        <f t="shared" ca="1" si="49"/>
        <v>5</v>
      </c>
    </row>
    <row r="141" spans="1:21" x14ac:dyDescent="0.3">
      <c r="A141">
        <f t="shared" si="50"/>
        <v>133</v>
      </c>
      <c r="B141" t="s">
        <v>67</v>
      </c>
      <c r="C141">
        <f t="shared" ca="1" si="41"/>
        <v>0.26951548554839377</v>
      </c>
      <c r="D141">
        <f t="shared" ca="1" si="42"/>
        <v>1.3111294299929785</v>
      </c>
      <c r="E141" s="12">
        <f t="shared" ca="1" si="51"/>
        <v>134.32736454205246</v>
      </c>
      <c r="G141">
        <f t="shared" ca="1" si="43"/>
        <v>0.51101814854222327</v>
      </c>
      <c r="H141">
        <f t="shared" ca="1" si="44"/>
        <v>0.7201403378403276</v>
      </c>
      <c r="I141">
        <v>135.28740998354067</v>
      </c>
      <c r="K141" s="2" t="s">
        <v>66</v>
      </c>
      <c r="O141">
        <f t="shared" ca="1" si="45"/>
        <v>0.96004544148820514</v>
      </c>
      <c r="P141">
        <f t="shared" ca="1" si="46"/>
        <v>0.23990500000000001</v>
      </c>
      <c r="Q141" s="27" t="s">
        <v>247</v>
      </c>
      <c r="S141">
        <f t="shared" ca="1" si="47"/>
        <v>133</v>
      </c>
      <c r="T141">
        <f t="shared" ca="1" si="48"/>
        <v>128</v>
      </c>
      <c r="U141">
        <f t="shared" ca="1" si="49"/>
        <v>5</v>
      </c>
    </row>
    <row r="142" spans="1:21" x14ac:dyDescent="0.3">
      <c r="A142">
        <f t="shared" si="50"/>
        <v>134</v>
      </c>
      <c r="B142" t="s">
        <v>66</v>
      </c>
      <c r="C142">
        <f t="shared" ca="1" si="41"/>
        <v>0.27522769322575091</v>
      </c>
      <c r="D142">
        <f t="shared" ca="1" si="42"/>
        <v>1.2901565485317157</v>
      </c>
      <c r="E142" s="12">
        <f t="shared" ca="1" si="51"/>
        <v>135.61752109058418</v>
      </c>
      <c r="G142">
        <f t="shared" ca="1" si="43"/>
        <v>0.7419618508385345</v>
      </c>
      <c r="H142">
        <f t="shared" ca="1" si="44"/>
        <v>0.34724761527017112</v>
      </c>
      <c r="I142">
        <v>138.20446810623613</v>
      </c>
      <c r="K142" s="2" t="s">
        <v>63</v>
      </c>
      <c r="O142">
        <f t="shared" ca="1" si="45"/>
        <v>2.5869470156519583</v>
      </c>
      <c r="P142">
        <f t="shared" ca="1" si="46"/>
        <v>2.2396989999999999</v>
      </c>
      <c r="Q142" s="27" t="s">
        <v>247</v>
      </c>
      <c r="S142">
        <f t="shared" ca="1" si="47"/>
        <v>134</v>
      </c>
      <c r="T142">
        <f t="shared" ca="1" si="48"/>
        <v>130</v>
      </c>
      <c r="U142">
        <f t="shared" ca="1" si="49"/>
        <v>4</v>
      </c>
    </row>
    <row r="143" spans="1:21" x14ac:dyDescent="0.3">
      <c r="A143">
        <f t="shared" si="50"/>
        <v>135</v>
      </c>
      <c r="B143" t="s">
        <v>65</v>
      </c>
      <c r="C143">
        <f t="shared" ca="1" si="41"/>
        <v>0.7482745602249915</v>
      </c>
      <c r="D143">
        <f t="shared" ca="1" si="42"/>
        <v>0.2899853092330596</v>
      </c>
      <c r="E143" s="12">
        <f t="shared" ca="1" si="51"/>
        <v>135.90750639981724</v>
      </c>
      <c r="G143">
        <f t="shared" ca="1" si="43"/>
        <v>0.75286496583542417</v>
      </c>
      <c r="H143">
        <f t="shared" ca="1" si="44"/>
        <v>0.33265955967271543</v>
      </c>
      <c r="I143">
        <v>137.85722049096597</v>
      </c>
      <c r="K143" s="2" t="s">
        <v>61</v>
      </c>
      <c r="O143">
        <f t="shared" ca="1" si="45"/>
        <v>1.949714091148735</v>
      </c>
      <c r="P143">
        <f t="shared" ca="1" si="46"/>
        <v>1.6170549999999999</v>
      </c>
      <c r="Q143" s="27" t="s">
        <v>247</v>
      </c>
      <c r="S143">
        <f t="shared" ca="1" si="47"/>
        <v>135</v>
      </c>
      <c r="T143">
        <f t="shared" ca="1" si="48"/>
        <v>130</v>
      </c>
      <c r="U143">
        <f t="shared" ca="1" si="49"/>
        <v>5</v>
      </c>
    </row>
    <row r="144" spans="1:21" x14ac:dyDescent="0.3">
      <c r="A144">
        <f t="shared" si="50"/>
        <v>136</v>
      </c>
      <c r="B144" t="s">
        <v>64</v>
      </c>
      <c r="C144">
        <f t="shared" ca="1" si="41"/>
        <v>0.67035338996143312</v>
      </c>
      <c r="D144">
        <f t="shared" ca="1" si="42"/>
        <v>0.399950257945141</v>
      </c>
      <c r="E144" s="12">
        <f t="shared" ca="1" si="51"/>
        <v>136.30745665776237</v>
      </c>
      <c r="G144">
        <f t="shared" ca="1" si="43"/>
        <v>0.24573374995866926</v>
      </c>
      <c r="H144">
        <f t="shared" ca="1" si="44"/>
        <v>1.4522968105886493</v>
      </c>
      <c r="I144">
        <v>142.86540542048812</v>
      </c>
      <c r="K144" s="2" t="s">
        <v>59</v>
      </c>
      <c r="O144">
        <f t="shared" ca="1" si="45"/>
        <v>6.5579487627257436</v>
      </c>
      <c r="P144">
        <f t="shared" ca="1" si="46"/>
        <v>5.1056520000000001</v>
      </c>
      <c r="Q144" s="27" t="s">
        <v>247</v>
      </c>
      <c r="S144">
        <f t="shared" ca="1" si="47"/>
        <v>136</v>
      </c>
      <c r="T144">
        <f t="shared" ca="1" si="48"/>
        <v>130</v>
      </c>
      <c r="U144">
        <f t="shared" ca="1" si="49"/>
        <v>6</v>
      </c>
    </row>
    <row r="145" spans="1:21" x14ac:dyDescent="0.3">
      <c r="A145">
        <f t="shared" si="50"/>
        <v>137</v>
      </c>
      <c r="B145" t="s">
        <v>63</v>
      </c>
      <c r="C145">
        <f t="shared" ca="1" si="41"/>
        <v>0.39037395907875327</v>
      </c>
      <c r="D145">
        <f t="shared" ca="1" si="42"/>
        <v>0.94065012984737861</v>
      </c>
      <c r="E145" s="12">
        <f t="shared" ca="1" si="51"/>
        <v>137.24810678760974</v>
      </c>
      <c r="G145">
        <f t="shared" ca="1" si="43"/>
        <v>0.54633089358839892</v>
      </c>
      <c r="H145">
        <f t="shared" ca="1" si="44"/>
        <v>0.65332061875684122</v>
      </c>
      <c r="I145">
        <v>138.85778872499299</v>
      </c>
      <c r="K145" s="2" t="s">
        <v>62</v>
      </c>
      <c r="O145">
        <f t="shared" ca="1" si="45"/>
        <v>1.6096819373832432</v>
      </c>
      <c r="P145">
        <f t="shared" ca="1" si="46"/>
        <v>0.95636100000000002</v>
      </c>
      <c r="Q145" s="27" t="s">
        <v>247</v>
      </c>
      <c r="S145">
        <f t="shared" ca="1" si="47"/>
        <v>137</v>
      </c>
      <c r="T145">
        <f t="shared" ca="1" si="48"/>
        <v>130</v>
      </c>
      <c r="U145">
        <f t="shared" ca="1" si="49"/>
        <v>7</v>
      </c>
    </row>
    <row r="146" spans="1:21" x14ac:dyDescent="0.3">
      <c r="A146">
        <f t="shared" si="50"/>
        <v>138</v>
      </c>
      <c r="B146" t="s">
        <v>62</v>
      </c>
      <c r="C146">
        <f t="shared" ca="1" si="41"/>
        <v>0.32423827136606487</v>
      </c>
      <c r="D146">
        <f t="shared" ca="1" si="42"/>
        <v>1.1262766280170775</v>
      </c>
      <c r="E146" s="12">
        <f t="shared" ca="1" si="51"/>
        <v>138.37438341562682</v>
      </c>
      <c r="G146">
        <f t="shared" ca="1" si="43"/>
        <v>0.30551592226615121</v>
      </c>
      <c r="H146">
        <f t="shared" ca="1" si="44"/>
        <v>1.2345435471872461</v>
      </c>
      <c r="I146">
        <v>141.41310860989947</v>
      </c>
      <c r="K146" s="2" t="s">
        <v>64</v>
      </c>
      <c r="O146">
        <f t="shared" ca="1" si="45"/>
        <v>3.0387251942726436</v>
      </c>
      <c r="P146">
        <f t="shared" ca="1" si="46"/>
        <v>1.804182</v>
      </c>
      <c r="Q146" s="27" t="s">
        <v>247</v>
      </c>
      <c r="S146">
        <f t="shared" ca="1" si="47"/>
        <v>138</v>
      </c>
      <c r="T146">
        <f t="shared" ca="1" si="48"/>
        <v>133</v>
      </c>
      <c r="U146">
        <f t="shared" ca="1" si="49"/>
        <v>5</v>
      </c>
    </row>
    <row r="147" spans="1:21" x14ac:dyDescent="0.3">
      <c r="A147">
        <f t="shared" si="50"/>
        <v>139</v>
      </c>
      <c r="B147" t="s">
        <v>61</v>
      </c>
      <c r="C147">
        <f t="shared" ca="1" si="41"/>
        <v>0.91481585334189441</v>
      </c>
      <c r="D147">
        <f t="shared" ca="1" si="42"/>
        <v>8.9032487139011601E-2</v>
      </c>
      <c r="E147" s="12">
        <f t="shared" ca="1" si="51"/>
        <v>138.46341590276583</v>
      </c>
      <c r="G147">
        <f t="shared" ca="1" si="43"/>
        <v>0.64860736442892597</v>
      </c>
      <c r="H147">
        <f t="shared" ca="1" si="44"/>
        <v>0.48171789499664136</v>
      </c>
      <c r="I147">
        <v>139.33950661998963</v>
      </c>
      <c r="K147" s="2" t="s">
        <v>58</v>
      </c>
      <c r="O147">
        <f t="shared" ca="1" si="45"/>
        <v>0.87609071722380349</v>
      </c>
      <c r="P147">
        <f t="shared" ca="1" si="46"/>
        <v>0.39437299999999997</v>
      </c>
      <c r="Q147" s="27" t="s">
        <v>247</v>
      </c>
      <c r="S147">
        <f t="shared" ca="1" si="47"/>
        <v>139</v>
      </c>
      <c r="T147">
        <f t="shared" ca="1" si="48"/>
        <v>133</v>
      </c>
      <c r="U147">
        <f t="shared" ca="1" si="49"/>
        <v>6</v>
      </c>
    </row>
    <row r="148" spans="1:21" x14ac:dyDescent="0.3">
      <c r="A148">
        <f t="shared" si="50"/>
        <v>140</v>
      </c>
      <c r="B148" t="s">
        <v>60</v>
      </c>
      <c r="C148">
        <f t="shared" ca="1" si="41"/>
        <v>0.81678119761084289</v>
      </c>
      <c r="D148">
        <f t="shared" ca="1" si="42"/>
        <v>0.2023840319719995</v>
      </c>
      <c r="E148" s="12">
        <f t="shared" ca="1" si="51"/>
        <v>138.66579993473783</v>
      </c>
      <c r="G148">
        <f t="shared" ca="1" si="43"/>
        <v>0.10567629513625032</v>
      </c>
      <c r="H148">
        <f t="shared" ca="1" si="44"/>
        <v>2.2961648409304272</v>
      </c>
      <c r="I148">
        <v>149.74841433932579</v>
      </c>
      <c r="K148" s="2" t="s">
        <v>57</v>
      </c>
      <c r="O148">
        <f t="shared" ca="1" si="45"/>
        <v>11.082614404587957</v>
      </c>
      <c r="P148">
        <f t="shared" ca="1" si="46"/>
        <v>8.7864500000000003</v>
      </c>
      <c r="Q148" s="27" t="s">
        <v>247</v>
      </c>
      <c r="S148">
        <f t="shared" ca="1" si="47"/>
        <v>140</v>
      </c>
      <c r="T148">
        <f t="shared" ca="1" si="48"/>
        <v>133</v>
      </c>
      <c r="U148">
        <f t="shared" ca="1" si="49"/>
        <v>7</v>
      </c>
    </row>
    <row r="149" spans="1:21" x14ac:dyDescent="0.3">
      <c r="A149">
        <f t="shared" si="50"/>
        <v>141</v>
      </c>
      <c r="B149" t="s">
        <v>59</v>
      </c>
      <c r="C149">
        <f t="shared" ca="1" si="41"/>
        <v>0.66444954030025583</v>
      </c>
      <c r="D149">
        <f t="shared" ca="1" si="42"/>
        <v>0.40879634005487719</v>
      </c>
      <c r="E149" s="12">
        <f t="shared" ca="1" si="51"/>
        <v>139.0745962747927</v>
      </c>
      <c r="G149">
        <f t="shared" ca="1" si="43"/>
        <v>0.45372305478823993</v>
      </c>
      <c r="H149">
        <f t="shared" ca="1" si="44"/>
        <v>0.8390584427225708</v>
      </c>
      <c r="I149">
        <v>140.17856506271221</v>
      </c>
      <c r="K149" s="2" t="s">
        <v>55</v>
      </c>
      <c r="O149">
        <f t="shared" ca="1" si="45"/>
        <v>1.1039687879195128</v>
      </c>
      <c r="P149">
        <f t="shared" ca="1" si="46"/>
        <v>0.26490999999999998</v>
      </c>
      <c r="Q149" s="27" t="s">
        <v>247</v>
      </c>
      <c r="S149">
        <f t="shared" ca="1" si="47"/>
        <v>141</v>
      </c>
      <c r="T149">
        <f t="shared" ca="1" si="48"/>
        <v>134</v>
      </c>
      <c r="U149">
        <f t="shared" ca="1" si="49"/>
        <v>7</v>
      </c>
    </row>
    <row r="150" spans="1:21" x14ac:dyDescent="0.3">
      <c r="A150">
        <f t="shared" si="50"/>
        <v>142</v>
      </c>
      <c r="B150" t="s">
        <v>58</v>
      </c>
      <c r="C150">
        <f t="shared" ca="1" si="41"/>
        <v>9.1307700673931791E-2</v>
      </c>
      <c r="D150">
        <f t="shared" ca="1" si="42"/>
        <v>2.3935201502071242</v>
      </c>
      <c r="E150" s="12">
        <f t="shared" ca="1" si="51"/>
        <v>141.46811642499983</v>
      </c>
      <c r="G150">
        <f t="shared" ca="1" si="43"/>
        <v>0.77176477457531867</v>
      </c>
      <c r="H150">
        <f t="shared" ca="1" si="44"/>
        <v>0.30786563570205533</v>
      </c>
      <c r="I150">
        <v>143.17327105619017</v>
      </c>
      <c r="K150" s="2" t="s">
        <v>56</v>
      </c>
      <c r="O150">
        <f t="shared" ca="1" si="45"/>
        <v>1.7051546311903394</v>
      </c>
      <c r="P150">
        <f t="shared" ca="1" si="46"/>
        <v>1.397289</v>
      </c>
      <c r="Q150" s="27" t="s">
        <v>247</v>
      </c>
      <c r="S150">
        <f t="shared" ca="1" si="47"/>
        <v>142</v>
      </c>
      <c r="T150">
        <f t="shared" ca="1" si="48"/>
        <v>137</v>
      </c>
      <c r="U150">
        <f t="shared" ca="1" si="49"/>
        <v>5</v>
      </c>
    </row>
    <row r="151" spans="1:21" x14ac:dyDescent="0.3">
      <c r="A151">
        <f t="shared" si="50"/>
        <v>143</v>
      </c>
      <c r="B151" t="s">
        <v>57</v>
      </c>
      <c r="C151">
        <f t="shared" ca="1" si="41"/>
        <v>0.74849577447007509</v>
      </c>
      <c r="D151">
        <f t="shared" ca="1" si="42"/>
        <v>0.28968972046894992</v>
      </c>
      <c r="E151" s="12">
        <f t="shared" ca="1" si="51"/>
        <v>141.75780614546878</v>
      </c>
      <c r="G151">
        <f t="shared" ca="1" si="43"/>
        <v>0.70543292694936366</v>
      </c>
      <c r="H151">
        <f t="shared" ca="1" si="44"/>
        <v>0.39773374803050948</v>
      </c>
      <c r="I151">
        <v>143.57100480422068</v>
      </c>
      <c r="K151" s="2" t="s">
        <v>54</v>
      </c>
      <c r="O151">
        <f t="shared" ca="1" si="45"/>
        <v>1.8131986587519009</v>
      </c>
      <c r="P151">
        <f t="shared" ca="1" si="46"/>
        <v>1.415465</v>
      </c>
      <c r="Q151" s="27" t="s">
        <v>247</v>
      </c>
      <c r="S151">
        <f t="shared" ca="1" si="47"/>
        <v>143</v>
      </c>
      <c r="T151">
        <f t="shared" ca="1" si="48"/>
        <v>137</v>
      </c>
      <c r="U151">
        <f t="shared" ca="1" si="49"/>
        <v>6</v>
      </c>
    </row>
    <row r="152" spans="1:21" x14ac:dyDescent="0.3">
      <c r="A152">
        <f t="shared" si="50"/>
        <v>144</v>
      </c>
      <c r="B152" t="s">
        <v>56</v>
      </c>
      <c r="C152">
        <f t="shared" ca="1" si="41"/>
        <v>0.62384460568908218</v>
      </c>
      <c r="D152">
        <f t="shared" ca="1" si="42"/>
        <v>0.47185397097008502</v>
      </c>
      <c r="E152" s="12">
        <f t="shared" ca="1" si="51"/>
        <v>142.22966011643885</v>
      </c>
      <c r="G152">
        <f t="shared" ca="1" si="43"/>
        <v>0.43089091215549324</v>
      </c>
      <c r="H152">
        <f t="shared" ca="1" si="44"/>
        <v>0.89069048913163607</v>
      </c>
      <c r="I152">
        <v>145.22681030616516</v>
      </c>
      <c r="K152" s="2" t="s">
        <v>53</v>
      </c>
      <c r="O152">
        <f t="shared" ca="1" si="45"/>
        <v>2.9971501897263124</v>
      </c>
      <c r="P152">
        <f t="shared" ca="1" si="46"/>
        <v>2.1064600000000002</v>
      </c>
      <c r="Q152" s="27" t="s">
        <v>247</v>
      </c>
      <c r="S152">
        <f t="shared" ca="1" si="47"/>
        <v>144</v>
      </c>
      <c r="T152">
        <f t="shared" ca="1" si="48"/>
        <v>137</v>
      </c>
      <c r="U152">
        <f t="shared" ca="1" si="49"/>
        <v>7</v>
      </c>
    </row>
    <row r="153" spans="1:21" x14ac:dyDescent="0.3">
      <c r="A153">
        <f t="shared" si="50"/>
        <v>145</v>
      </c>
      <c r="B153" t="s">
        <v>55</v>
      </c>
      <c r="C153">
        <f t="shared" ca="1" si="41"/>
        <v>0.94291767007624239</v>
      </c>
      <c r="D153">
        <f t="shared" ca="1" si="42"/>
        <v>5.8776306547970052E-2</v>
      </c>
      <c r="E153" s="12">
        <f t="shared" ca="1" si="51"/>
        <v>142.28843642298682</v>
      </c>
      <c r="G153">
        <f t="shared" ca="1" si="43"/>
        <v>0.4885444354219638</v>
      </c>
      <c r="H153">
        <f t="shared" ca="1" si="44"/>
        <v>0.76511501281285277</v>
      </c>
      <c r="I153">
        <v>144.33611981703353</v>
      </c>
      <c r="K153" s="2" t="s">
        <v>60</v>
      </c>
      <c r="O153">
        <f t="shared" ca="1" si="45"/>
        <v>2.0476833940467145</v>
      </c>
      <c r="P153">
        <f t="shared" ca="1" si="46"/>
        <v>1.2825679999999999</v>
      </c>
      <c r="Q153" s="27" t="s">
        <v>247</v>
      </c>
      <c r="S153">
        <f t="shared" ca="1" si="47"/>
        <v>145</v>
      </c>
      <c r="T153">
        <f t="shared" ca="1" si="48"/>
        <v>137</v>
      </c>
      <c r="U153">
        <f t="shared" ca="1" si="49"/>
        <v>8</v>
      </c>
    </row>
    <row r="154" spans="1:21" x14ac:dyDescent="0.3">
      <c r="A154">
        <f t="shared" si="50"/>
        <v>146</v>
      </c>
      <c r="B154" t="s">
        <v>54</v>
      </c>
      <c r="C154">
        <f t="shared" ca="1" si="41"/>
        <v>0.31277601084624385</v>
      </c>
      <c r="D154">
        <f t="shared" ca="1" si="42"/>
        <v>1.1622679649199559</v>
      </c>
      <c r="E154" s="12">
        <f t="shared" ca="1" si="51"/>
        <v>143.45070438790677</v>
      </c>
      <c r="G154">
        <f t="shared" ca="1" si="43"/>
        <v>0.13680544689968543</v>
      </c>
      <c r="H154">
        <f t="shared" ca="1" si="44"/>
        <v>2.0379856222376072</v>
      </c>
      <c r="I154">
        <v>147.26479592840278</v>
      </c>
      <c r="K154" s="2" t="s">
        <v>76</v>
      </c>
      <c r="O154">
        <f t="shared" ca="1" si="45"/>
        <v>3.8140915404960083</v>
      </c>
      <c r="P154">
        <f t="shared" ca="1" si="46"/>
        <v>1.776106</v>
      </c>
      <c r="Q154" s="27" t="s">
        <v>247</v>
      </c>
      <c r="S154">
        <f t="shared" ca="1" si="47"/>
        <v>146</v>
      </c>
      <c r="T154">
        <f t="shared" ca="1" si="48"/>
        <v>139</v>
      </c>
      <c r="U154">
        <f t="shared" ca="1" si="49"/>
        <v>7</v>
      </c>
    </row>
    <row r="155" spans="1:21" x14ac:dyDescent="0.3">
      <c r="A155">
        <f t="shared" si="50"/>
        <v>147</v>
      </c>
      <c r="B155" t="s">
        <v>53</v>
      </c>
      <c r="C155">
        <f t="shared" ca="1" si="41"/>
        <v>0.15632297365153236</v>
      </c>
      <c r="D155">
        <f t="shared" ca="1" si="42"/>
        <v>1.855831068021025</v>
      </c>
      <c r="E155" s="12">
        <f t="shared" ca="1" si="51"/>
        <v>145.30653545592779</v>
      </c>
      <c r="G155">
        <f t="shared" ca="1" si="43"/>
        <v>0.87052099144720119</v>
      </c>
      <c r="H155">
        <f t="shared" ca="1" si="44"/>
        <v>0.18745356999259721</v>
      </c>
      <c r="I155">
        <v>147.45224949839536</v>
      </c>
      <c r="K155" s="2" t="s">
        <v>48</v>
      </c>
      <c r="O155">
        <f t="shared" ca="1" si="45"/>
        <v>2.1457140424675742</v>
      </c>
      <c r="P155">
        <f t="shared" ca="1" si="46"/>
        <v>1.9582599999999999</v>
      </c>
      <c r="Q155" s="27" t="s">
        <v>247</v>
      </c>
      <c r="S155">
        <f t="shared" ca="1" si="47"/>
        <v>147</v>
      </c>
      <c r="T155">
        <f t="shared" ca="1" si="48"/>
        <v>142</v>
      </c>
      <c r="U155">
        <f t="shared" ca="1" si="49"/>
        <v>5</v>
      </c>
    </row>
    <row r="156" spans="1:21" x14ac:dyDescent="0.3">
      <c r="A156">
        <f t="shared" si="50"/>
        <v>148</v>
      </c>
      <c r="B156" t="s">
        <v>52</v>
      </c>
      <c r="C156">
        <f t="shared" ca="1" si="41"/>
        <v>0.32408580231182682</v>
      </c>
      <c r="D156">
        <f t="shared" ca="1" si="42"/>
        <v>1.126746976298868</v>
      </c>
      <c r="E156" s="12">
        <f t="shared" ca="1" si="51"/>
        <v>146.43328243222666</v>
      </c>
      <c r="G156">
        <f t="shared" ca="1" si="43"/>
        <v>3.4357556662263922E-2</v>
      </c>
      <c r="H156">
        <f t="shared" ca="1" si="44"/>
        <v>3.4197234585096998</v>
      </c>
      <c r="I156">
        <v>165.91480549949688</v>
      </c>
      <c r="K156" s="2" t="s">
        <v>46</v>
      </c>
      <c r="O156">
        <f t="shared" ca="1" si="45"/>
        <v>19.481523067270217</v>
      </c>
      <c r="P156">
        <f t="shared" ca="1" si="46"/>
        <v>16.061800000000002</v>
      </c>
      <c r="Q156" s="27" t="s">
        <v>247</v>
      </c>
      <c r="S156">
        <f t="shared" ca="1" si="47"/>
        <v>148</v>
      </c>
      <c r="T156">
        <f t="shared" ca="1" si="48"/>
        <v>142</v>
      </c>
      <c r="U156">
        <f t="shared" ca="1" si="49"/>
        <v>6</v>
      </c>
    </row>
    <row r="157" spans="1:21" x14ac:dyDescent="0.3">
      <c r="A157">
        <f t="shared" si="50"/>
        <v>149</v>
      </c>
      <c r="B157" t="s">
        <v>51</v>
      </c>
      <c r="C157">
        <f t="shared" ca="1" si="41"/>
        <v>2.1791715460158678E-2</v>
      </c>
      <c r="D157">
        <f t="shared" ca="1" si="42"/>
        <v>3.8262254061781671</v>
      </c>
      <c r="E157" s="12">
        <f t="shared" ca="1" si="51"/>
        <v>150.25950783840483</v>
      </c>
      <c r="G157">
        <f t="shared" ca="1" si="43"/>
        <v>8.8399843867438266E-2</v>
      </c>
      <c r="H157">
        <f t="shared" ca="1" si="44"/>
        <v>2.4746752397149807</v>
      </c>
      <c r="I157">
        <v>160.31731978225969</v>
      </c>
      <c r="K157" s="2" t="s">
        <v>47</v>
      </c>
      <c r="O157">
        <f t="shared" ca="1" si="45"/>
        <v>10.057811943854858</v>
      </c>
      <c r="P157">
        <f t="shared" ca="1" si="46"/>
        <v>7.5831369999999998</v>
      </c>
      <c r="Q157" s="27" t="s">
        <v>247</v>
      </c>
      <c r="S157">
        <f t="shared" ca="1" si="47"/>
        <v>149</v>
      </c>
      <c r="T157">
        <f t="shared" ca="1" si="48"/>
        <v>145</v>
      </c>
      <c r="U157">
        <f t="shared" ca="1" si="49"/>
        <v>4</v>
      </c>
    </row>
    <row r="158" spans="1:21" x14ac:dyDescent="0.3">
      <c r="A158">
        <f t="shared" si="50"/>
        <v>150</v>
      </c>
      <c r="B158" t="s">
        <v>50</v>
      </c>
      <c r="C158">
        <f t="shared" ca="1" si="41"/>
        <v>0.86819679007686557</v>
      </c>
      <c r="D158">
        <f t="shared" ca="1" si="42"/>
        <v>0.14133687333971268</v>
      </c>
      <c r="E158" s="12">
        <f t="shared" ca="1" si="51"/>
        <v>150.40084471174455</v>
      </c>
      <c r="G158">
        <f t="shared" ca="1" si="43"/>
        <v>0.37501657967263446</v>
      </c>
      <c r="H158">
        <f t="shared" ca="1" si="44"/>
        <v>1.0295752056981418</v>
      </c>
      <c r="I158">
        <v>155.69107720993404</v>
      </c>
      <c r="K158" s="2" t="s">
        <v>45</v>
      </c>
      <c r="O158">
        <f t="shared" ca="1" si="45"/>
        <v>5.2902324981894822</v>
      </c>
      <c r="P158">
        <f t="shared" ca="1" si="46"/>
        <v>4.2606570000000001</v>
      </c>
      <c r="Q158" s="27" t="s">
        <v>247</v>
      </c>
      <c r="S158">
        <f t="shared" ca="1" si="47"/>
        <v>150</v>
      </c>
      <c r="T158">
        <f t="shared" ca="1" si="48"/>
        <v>145</v>
      </c>
      <c r="U158">
        <f t="shared" ca="1" si="49"/>
        <v>5</v>
      </c>
    </row>
    <row r="159" spans="1:21" x14ac:dyDescent="0.3">
      <c r="A159">
        <f t="shared" si="50"/>
        <v>151</v>
      </c>
      <c r="B159" t="s">
        <v>49</v>
      </c>
      <c r="C159">
        <f t="shared" ca="1" si="41"/>
        <v>0.68749683775949222</v>
      </c>
      <c r="D159">
        <f t="shared" ca="1" si="42"/>
        <v>0.37469804907454574</v>
      </c>
      <c r="E159" s="12">
        <f t="shared" ca="1" si="51"/>
        <v>150.77554276081909</v>
      </c>
      <c r="G159">
        <f t="shared" ca="1" si="43"/>
        <v>0.23715768892463374</v>
      </c>
      <c r="H159">
        <f t="shared" ca="1" si="44"/>
        <v>1.4878201691539725</v>
      </c>
      <c r="I159">
        <v>157.84264454254472</v>
      </c>
      <c r="K159" s="2" t="s">
        <v>50</v>
      </c>
      <c r="O159">
        <f t="shared" ca="1" si="45"/>
        <v>7.0671017817256256</v>
      </c>
      <c r="P159">
        <f t="shared" ca="1" si="46"/>
        <v>5.5792820000000001</v>
      </c>
      <c r="Q159" s="27" t="s">
        <v>247</v>
      </c>
      <c r="S159">
        <f t="shared" ca="1" si="47"/>
        <v>151</v>
      </c>
      <c r="T159">
        <f t="shared" ca="1" si="48"/>
        <v>145</v>
      </c>
      <c r="U159">
        <f t="shared" ca="1" si="49"/>
        <v>6</v>
      </c>
    </row>
    <row r="160" spans="1:21" x14ac:dyDescent="0.3">
      <c r="A160">
        <f t="shared" si="50"/>
        <v>152</v>
      </c>
      <c r="B160" t="s">
        <v>48</v>
      </c>
      <c r="C160">
        <f t="shared" ca="1" si="41"/>
        <v>0.7263232609009499</v>
      </c>
      <c r="D160">
        <f t="shared" ca="1" si="42"/>
        <v>0.31976010030850505</v>
      </c>
      <c r="E160" s="12">
        <f t="shared" ca="1" si="51"/>
        <v>151.09530286112761</v>
      </c>
      <c r="G160">
        <f t="shared" ca="1" si="43"/>
        <v>0.89377975682568456</v>
      </c>
      <c r="H160">
        <f t="shared" ca="1" si="44"/>
        <v>0.16108605534717996</v>
      </c>
      <c r="I160">
        <v>153.09609712549533</v>
      </c>
      <c r="K160" s="2" t="s">
        <v>44</v>
      </c>
      <c r="O160">
        <f t="shared" ca="1" si="45"/>
        <v>2.0007942643677268</v>
      </c>
      <c r="P160">
        <f t="shared" ca="1" si="46"/>
        <v>1.8397079999999999</v>
      </c>
      <c r="Q160" s="27" t="s">
        <v>247</v>
      </c>
      <c r="S160">
        <f t="shared" ca="1" si="47"/>
        <v>152</v>
      </c>
      <c r="T160">
        <f t="shared" ca="1" si="48"/>
        <v>145</v>
      </c>
      <c r="U160">
        <f t="shared" ca="1" si="49"/>
        <v>7</v>
      </c>
    </row>
    <row r="161" spans="1:21" x14ac:dyDescent="0.3">
      <c r="A161">
        <f t="shared" si="50"/>
        <v>153</v>
      </c>
      <c r="B161" t="s">
        <v>47</v>
      </c>
      <c r="C161">
        <f t="shared" ca="1" si="41"/>
        <v>0.20450560385628003</v>
      </c>
      <c r="D161">
        <f t="shared" ca="1" si="42"/>
        <v>1.5871599011545325</v>
      </c>
      <c r="E161" s="12">
        <f t="shared" ca="1" si="51"/>
        <v>152.68246276228214</v>
      </c>
      <c r="G161">
        <f t="shared" ca="1" si="43"/>
        <v>0.62150036317581348</v>
      </c>
      <c r="H161">
        <f t="shared" ca="1" si="44"/>
        <v>0.52440894784729186</v>
      </c>
      <c r="I161">
        <v>153.84803113642329</v>
      </c>
      <c r="K161" s="2" t="s">
        <v>43</v>
      </c>
      <c r="O161">
        <f t="shared" ca="1" si="45"/>
        <v>1.1655683741411451</v>
      </c>
      <c r="P161">
        <f t="shared" ca="1" si="46"/>
        <v>0.64115900000000003</v>
      </c>
      <c r="Q161" s="27" t="s">
        <v>247</v>
      </c>
      <c r="S161">
        <f t="shared" ca="1" si="47"/>
        <v>153</v>
      </c>
      <c r="T161">
        <f t="shared" ca="1" si="48"/>
        <v>145</v>
      </c>
      <c r="U161">
        <f t="shared" ca="1" si="49"/>
        <v>8</v>
      </c>
    </row>
    <row r="162" spans="1:21" x14ac:dyDescent="0.3">
      <c r="A162">
        <f t="shared" si="50"/>
        <v>154</v>
      </c>
      <c r="B162" t="s">
        <v>46</v>
      </c>
      <c r="C162">
        <f t="shared" ca="1" si="41"/>
        <v>0.66285188837279074</v>
      </c>
      <c r="D162">
        <f t="shared" ca="1" si="42"/>
        <v>0.41120370987237548</v>
      </c>
      <c r="E162" s="12">
        <f t="shared" ca="1" si="51"/>
        <v>153.09366647215452</v>
      </c>
      <c r="G162">
        <f t="shared" ca="1" si="43"/>
        <v>0.83632758136406715</v>
      </c>
      <c r="H162">
        <f t="shared" ca="1" si="44"/>
        <v>0.22752506308065329</v>
      </c>
      <c r="I162">
        <v>153.323622188576</v>
      </c>
      <c r="K162" s="2" t="s">
        <v>42</v>
      </c>
      <c r="O162">
        <f t="shared" ca="1" si="45"/>
        <v>0.22995571642147183</v>
      </c>
      <c r="P162">
        <f t="shared" ca="1" si="46"/>
        <v>2.431E-3</v>
      </c>
      <c r="Q162" s="27" t="s">
        <v>247</v>
      </c>
      <c r="S162">
        <f t="shared" ca="1" si="47"/>
        <v>154</v>
      </c>
      <c r="T162">
        <f t="shared" ca="1" si="48"/>
        <v>146</v>
      </c>
      <c r="U162">
        <f t="shared" ca="1" si="49"/>
        <v>8</v>
      </c>
    </row>
    <row r="163" spans="1:21" x14ac:dyDescent="0.3">
      <c r="A163">
        <f t="shared" si="50"/>
        <v>155</v>
      </c>
      <c r="B163" t="s">
        <v>45</v>
      </c>
      <c r="C163">
        <f t="shared" ca="1" si="41"/>
        <v>0.52745883356598533</v>
      </c>
      <c r="D163">
        <f t="shared" ca="1" si="42"/>
        <v>0.63968445731044732</v>
      </c>
      <c r="E163" s="12">
        <f t="shared" ca="1" si="51"/>
        <v>153.73335092946496</v>
      </c>
      <c r="G163">
        <f t="shared" ca="1" si="43"/>
        <v>0.46548253412613649</v>
      </c>
      <c r="H163">
        <f t="shared" ca="1" si="44"/>
        <v>0.81347086781261568</v>
      </c>
      <c r="I163">
        <v>154.6615020042359</v>
      </c>
      <c r="K163" s="2" t="s">
        <v>49</v>
      </c>
      <c r="O163">
        <f t="shared" ca="1" si="45"/>
        <v>0.92815107477093761</v>
      </c>
      <c r="P163">
        <f t="shared" ca="1" si="46"/>
        <v>0.11468</v>
      </c>
      <c r="Q163" s="27" t="s">
        <v>247</v>
      </c>
      <c r="S163">
        <f t="shared" ca="1" si="47"/>
        <v>155</v>
      </c>
      <c r="T163">
        <f t="shared" ca="1" si="48"/>
        <v>148</v>
      </c>
      <c r="U163">
        <f t="shared" ca="1" si="49"/>
        <v>7</v>
      </c>
    </row>
    <row r="164" spans="1:21" x14ac:dyDescent="0.3">
      <c r="A164">
        <f t="shared" si="50"/>
        <v>156</v>
      </c>
      <c r="B164" t="s">
        <v>44</v>
      </c>
      <c r="C164">
        <f t="shared" ca="1" si="41"/>
        <v>0.36375838602287724</v>
      </c>
      <c r="D164">
        <f t="shared" ca="1" si="42"/>
        <v>1.011265406403757</v>
      </c>
      <c r="E164" s="12">
        <f t="shared" ca="1" si="51"/>
        <v>154.74461633586873</v>
      </c>
      <c r="G164">
        <f t="shared" ca="1" si="43"/>
        <v>0.98856172235702622</v>
      </c>
      <c r="H164">
        <f t="shared" ca="1" si="44"/>
        <v>6.0294362068341718E-2</v>
      </c>
      <c r="I164">
        <v>155.75137157200237</v>
      </c>
      <c r="K164" s="2" t="s">
        <v>51</v>
      </c>
      <c r="O164">
        <f t="shared" ca="1" si="45"/>
        <v>1.0067552361336425</v>
      </c>
      <c r="P164">
        <f t="shared" ca="1" si="46"/>
        <v>0.946461</v>
      </c>
      <c r="Q164" s="27" t="s">
        <v>247</v>
      </c>
      <c r="S164">
        <f t="shared" ca="1" si="47"/>
        <v>156</v>
      </c>
      <c r="T164">
        <f t="shared" ca="1" si="48"/>
        <v>150</v>
      </c>
      <c r="U164">
        <f t="shared" ca="1" si="49"/>
        <v>6</v>
      </c>
    </row>
    <row r="165" spans="1:21" x14ac:dyDescent="0.3">
      <c r="A165">
        <f t="shared" si="50"/>
        <v>157</v>
      </c>
      <c r="B165" t="s">
        <v>43</v>
      </c>
      <c r="C165">
        <f t="shared" ca="1" si="41"/>
        <v>0.70382309505630702</v>
      </c>
      <c r="D165">
        <f t="shared" ca="1" si="42"/>
        <v>0.35122823983295082</v>
      </c>
      <c r="E165" s="12">
        <f t="shared" ca="1" si="51"/>
        <v>155.09584457570168</v>
      </c>
      <c r="G165">
        <f t="shared" ca="1" si="43"/>
        <v>0.96001040605835219</v>
      </c>
      <c r="H165">
        <f t="shared" ca="1" si="44"/>
        <v>8.9601319104318775E-2</v>
      </c>
      <c r="I165">
        <v>155.8409728911067</v>
      </c>
      <c r="K165" s="2" t="s">
        <v>40</v>
      </c>
      <c r="O165">
        <f t="shared" ca="1" si="45"/>
        <v>0.74512831540502589</v>
      </c>
      <c r="P165">
        <f t="shared" ca="1" si="46"/>
        <v>0.65552699999999997</v>
      </c>
      <c r="Q165" s="27" t="s">
        <v>247</v>
      </c>
      <c r="S165">
        <f t="shared" ca="1" si="47"/>
        <v>157</v>
      </c>
      <c r="T165">
        <f t="shared" ca="1" si="48"/>
        <v>150</v>
      </c>
      <c r="U165">
        <f t="shared" ca="1" si="49"/>
        <v>7</v>
      </c>
    </row>
    <row r="166" spans="1:21" x14ac:dyDescent="0.3">
      <c r="A166">
        <f t="shared" si="50"/>
        <v>158</v>
      </c>
      <c r="B166" t="s">
        <v>42</v>
      </c>
      <c r="C166">
        <f t="shared" ca="1" si="41"/>
        <v>0.53626375367189971</v>
      </c>
      <c r="D166">
        <f t="shared" ca="1" si="42"/>
        <v>0.62312916119580497</v>
      </c>
      <c r="E166" s="12">
        <f t="shared" ca="1" si="51"/>
        <v>155.71897373689748</v>
      </c>
      <c r="G166">
        <f t="shared" ca="1" si="43"/>
        <v>0.62809659031009657</v>
      </c>
      <c r="H166">
        <f t="shared" ca="1" si="44"/>
        <v>0.51385148228406696</v>
      </c>
      <c r="I166">
        <v>156.35482437339076</v>
      </c>
      <c r="K166" s="2" t="s">
        <v>41</v>
      </c>
      <c r="O166">
        <f t="shared" ca="1" si="45"/>
        <v>0.63585063649327367</v>
      </c>
      <c r="P166">
        <f t="shared" ca="1" si="46"/>
        <v>0.121999</v>
      </c>
      <c r="Q166" s="27" t="s">
        <v>247</v>
      </c>
      <c r="S166">
        <f t="shared" ca="1" si="47"/>
        <v>158</v>
      </c>
      <c r="T166">
        <f t="shared" ca="1" si="48"/>
        <v>151</v>
      </c>
      <c r="U166">
        <f t="shared" ca="1" si="49"/>
        <v>7</v>
      </c>
    </row>
    <row r="167" spans="1:21" x14ac:dyDescent="0.3">
      <c r="A167">
        <f t="shared" si="50"/>
        <v>159</v>
      </c>
      <c r="B167" t="s">
        <v>41</v>
      </c>
      <c r="C167">
        <f t="shared" ca="1" si="41"/>
        <v>0.10074866334726329</v>
      </c>
      <c r="D167">
        <f t="shared" ca="1" si="42"/>
        <v>2.2951263452680344</v>
      </c>
      <c r="E167" s="12">
        <f t="shared" ca="1" si="51"/>
        <v>158.01410008216553</v>
      </c>
      <c r="G167">
        <f t="shared" ca="1" si="43"/>
        <v>0.29705280592115002</v>
      </c>
      <c r="H167">
        <f t="shared" ca="1" si="44"/>
        <v>1.2626355224387</v>
      </c>
      <c r="I167">
        <v>162.49508204098717</v>
      </c>
      <c r="K167" s="2" t="s">
        <v>52</v>
      </c>
      <c r="O167">
        <f t="shared" ca="1" si="45"/>
        <v>4.4809819588216442</v>
      </c>
      <c r="P167">
        <f t="shared" ca="1" si="46"/>
        <v>3.2183459999999999</v>
      </c>
      <c r="Q167" s="27" t="s">
        <v>247</v>
      </c>
      <c r="S167">
        <f t="shared" ca="1" si="47"/>
        <v>159</v>
      </c>
      <c r="T167">
        <f t="shared" ca="1" si="48"/>
        <v>155</v>
      </c>
      <c r="U167">
        <f t="shared" ca="1" si="49"/>
        <v>4</v>
      </c>
    </row>
    <row r="168" spans="1:21" x14ac:dyDescent="0.3">
      <c r="A168">
        <f t="shared" si="50"/>
        <v>160</v>
      </c>
      <c r="B168" t="s">
        <v>40</v>
      </c>
      <c r="C168">
        <f t="shared" ca="1" si="41"/>
        <v>0.44713139971795723</v>
      </c>
      <c r="D168">
        <f t="shared" ca="1" si="42"/>
        <v>0.80490276846550379</v>
      </c>
      <c r="E168" s="12">
        <f t="shared" ca="1" si="51"/>
        <v>158.81900285063102</v>
      </c>
      <c r="G168">
        <f t="shared" ca="1" si="43"/>
        <v>0.42048916278228732</v>
      </c>
      <c r="H168">
        <f t="shared" ca="1" si="44"/>
        <v>0.9151267362887795</v>
      </c>
      <c r="I168">
        <v>161.23244651854847</v>
      </c>
      <c r="K168" s="2" t="s">
        <v>36</v>
      </c>
      <c r="O168">
        <f t="shared" ca="1" si="45"/>
        <v>2.4134436679174485</v>
      </c>
      <c r="P168">
        <f t="shared" ca="1" si="46"/>
        <v>1.4983169999999999</v>
      </c>
      <c r="Q168" s="27" t="s">
        <v>247</v>
      </c>
      <c r="S168">
        <f t="shared" ca="1" si="47"/>
        <v>160</v>
      </c>
      <c r="T168">
        <f t="shared" ca="1" si="48"/>
        <v>155</v>
      </c>
      <c r="U168">
        <f t="shared" ca="1" si="49"/>
        <v>5</v>
      </c>
    </row>
    <row r="169" spans="1:21" x14ac:dyDescent="0.3">
      <c r="A169">
        <f t="shared" si="50"/>
        <v>161</v>
      </c>
      <c r="B169" t="s">
        <v>39</v>
      </c>
      <c r="C169">
        <f t="shared" ca="1" si="41"/>
        <v>7.3233802323110497E-3</v>
      </c>
      <c r="D169">
        <f t="shared" ref="D169:D200" ca="1" si="52">-LN($C169)*$E$2</f>
        <v>4.9166832772262978</v>
      </c>
      <c r="E169" s="12">
        <f t="shared" ca="1" si="51"/>
        <v>163.73568612785732</v>
      </c>
      <c r="G169">
        <f t="shared" ca="1" si="43"/>
        <v>0.60330766691055426</v>
      </c>
      <c r="H169">
        <f t="shared" ref="H169:H200" ca="1" si="53">-LN($G169*$I$2)</f>
        <v>0.55411814949693328</v>
      </c>
      <c r="I169">
        <v>166.61472294118238</v>
      </c>
      <c r="K169" s="2" t="s">
        <v>37</v>
      </c>
      <c r="O169">
        <f t="shared" ref="O169:O200" ca="1" si="54">$I169-$E169</f>
        <v>2.8790368133250581</v>
      </c>
      <c r="P169">
        <f t="shared" ref="P169:P200" ca="1" si="55">MAX(0, ROUND($O169-$H169, 6))</f>
        <v>2.324919</v>
      </c>
      <c r="Q169" s="27" t="s">
        <v>247</v>
      </c>
      <c r="S169">
        <f t="shared" ref="S169:S200" ca="1" si="56">COUNTIF($E$9:$E$208, "&lt;=" &amp;$E169)</f>
        <v>161</v>
      </c>
      <c r="T169">
        <f t="shared" ref="T169:T200" ca="1" si="57">COUNTIF($I$9:$I$208, "&lt;=" &amp;$E169)</f>
        <v>158</v>
      </c>
      <c r="U169">
        <f t="shared" ref="U169:U200" ca="1" si="58">$S169-$T169</f>
        <v>3</v>
      </c>
    </row>
    <row r="170" spans="1:21" x14ac:dyDescent="0.3">
      <c r="A170">
        <f t="shared" si="50"/>
        <v>162</v>
      </c>
      <c r="B170" t="s">
        <v>38</v>
      </c>
      <c r="C170">
        <f t="shared" ca="1" si="41"/>
        <v>0.6297576647418599</v>
      </c>
      <c r="D170">
        <f t="shared" ca="1" si="52"/>
        <v>0.46242019273676777</v>
      </c>
      <c r="E170" s="12">
        <f t="shared" ca="1" si="51"/>
        <v>164.19810632059409</v>
      </c>
      <c r="G170">
        <f t="shared" ca="1" si="43"/>
        <v>5.1291465359953214E-2</v>
      </c>
      <c r="H170">
        <f t="shared" ca="1" si="53"/>
        <v>3.0190210720677859</v>
      </c>
      <c r="I170">
        <v>169.72639856035573</v>
      </c>
      <c r="K170" s="2" t="s">
        <v>39</v>
      </c>
      <c r="O170">
        <f t="shared" ca="1" si="54"/>
        <v>5.5282922397616403</v>
      </c>
      <c r="P170">
        <f t="shared" ca="1" si="55"/>
        <v>2.509271</v>
      </c>
      <c r="Q170" s="27" t="s">
        <v>247</v>
      </c>
      <c r="S170">
        <f t="shared" ca="1" si="56"/>
        <v>162</v>
      </c>
      <c r="T170">
        <f t="shared" ca="1" si="57"/>
        <v>158</v>
      </c>
      <c r="U170">
        <f t="shared" ca="1" si="58"/>
        <v>4</v>
      </c>
    </row>
    <row r="171" spans="1:21" x14ac:dyDescent="0.3">
      <c r="A171">
        <f t="shared" si="50"/>
        <v>163</v>
      </c>
      <c r="B171" t="s">
        <v>37</v>
      </c>
      <c r="C171">
        <f t="shared" ca="1" si="41"/>
        <v>0.39479320680570618</v>
      </c>
      <c r="D171">
        <f t="shared" ca="1" si="52"/>
        <v>0.92939317824332379</v>
      </c>
      <c r="E171" s="12">
        <f t="shared" ca="1" si="51"/>
        <v>165.12749949883741</v>
      </c>
      <c r="G171">
        <f t="shared" ca="1" si="43"/>
        <v>0.95586922426261156</v>
      </c>
      <c r="H171">
        <f t="shared" ca="1" si="53"/>
        <v>9.392433416179799E-2</v>
      </c>
      <c r="I171">
        <v>166.06060479168545</v>
      </c>
      <c r="K171" s="2" t="s">
        <v>35</v>
      </c>
      <c r="O171">
        <f t="shared" ca="1" si="54"/>
        <v>0.93310529284804034</v>
      </c>
      <c r="P171">
        <f t="shared" ca="1" si="55"/>
        <v>0.83918099999999995</v>
      </c>
      <c r="Q171" s="27" t="s">
        <v>247</v>
      </c>
      <c r="S171">
        <f t="shared" ca="1" si="56"/>
        <v>163</v>
      </c>
      <c r="T171">
        <f t="shared" ca="1" si="57"/>
        <v>158</v>
      </c>
      <c r="U171">
        <f t="shared" ca="1" si="58"/>
        <v>5</v>
      </c>
    </row>
    <row r="172" spans="1:21" x14ac:dyDescent="0.3">
      <c r="A172">
        <f t="shared" si="50"/>
        <v>164</v>
      </c>
      <c r="B172" t="s">
        <v>36</v>
      </c>
      <c r="C172">
        <f t="shared" ca="1" si="41"/>
        <v>0.95611859714451364</v>
      </c>
      <c r="D172">
        <f t="shared" ca="1" si="52"/>
        <v>4.487331803449876E-2</v>
      </c>
      <c r="E172" s="12">
        <f t="shared" ca="1" si="51"/>
        <v>165.1723728168719</v>
      </c>
      <c r="G172">
        <f t="shared" ca="1" si="43"/>
        <v>0.99691995923052179</v>
      </c>
      <c r="H172">
        <f t="shared" ca="1" si="53"/>
        <v>5.1874958026793185E-2</v>
      </c>
      <c r="I172">
        <v>165.96668045752367</v>
      </c>
      <c r="K172" s="2" t="s">
        <v>38</v>
      </c>
      <c r="O172">
        <f t="shared" ca="1" si="54"/>
        <v>0.79430764065176618</v>
      </c>
      <c r="P172">
        <f t="shared" ca="1" si="55"/>
        <v>0.74243300000000001</v>
      </c>
      <c r="Q172" s="27" t="s">
        <v>247</v>
      </c>
      <c r="S172">
        <f t="shared" ca="1" si="56"/>
        <v>164</v>
      </c>
      <c r="T172">
        <f t="shared" ca="1" si="57"/>
        <v>158</v>
      </c>
      <c r="U172">
        <f t="shared" ca="1" si="58"/>
        <v>6</v>
      </c>
    </row>
    <row r="173" spans="1:21" x14ac:dyDescent="0.3">
      <c r="A173">
        <f t="shared" si="50"/>
        <v>165</v>
      </c>
      <c r="B173" t="s">
        <v>35</v>
      </c>
      <c r="C173">
        <f t="shared" ca="1" si="41"/>
        <v>0.34681768474242247</v>
      </c>
      <c r="D173">
        <f t="shared" ca="1" si="52"/>
        <v>1.0589560413089414</v>
      </c>
      <c r="E173" s="12">
        <f t="shared" ca="1" si="51"/>
        <v>166.23132885818083</v>
      </c>
      <c r="G173">
        <f t="shared" ca="1" si="43"/>
        <v>0.95708374555953069</v>
      </c>
      <c r="H173">
        <f t="shared" ca="1" si="53"/>
        <v>9.2654547105591248E-2</v>
      </c>
      <c r="I173">
        <v>166.70737748828796</v>
      </c>
      <c r="K173" s="2" t="s">
        <v>34</v>
      </c>
      <c r="O173">
        <f t="shared" ca="1" si="54"/>
        <v>0.47604863010712961</v>
      </c>
      <c r="P173">
        <f t="shared" ca="1" si="55"/>
        <v>0.38339400000000001</v>
      </c>
      <c r="Q173" s="27" t="s">
        <v>247</v>
      </c>
      <c r="S173">
        <f t="shared" ca="1" si="56"/>
        <v>165</v>
      </c>
      <c r="T173">
        <f t="shared" ca="1" si="57"/>
        <v>161</v>
      </c>
      <c r="U173">
        <f t="shared" ca="1" si="58"/>
        <v>4</v>
      </c>
    </row>
    <row r="174" spans="1:21" x14ac:dyDescent="0.3">
      <c r="A174">
        <f t="shared" si="50"/>
        <v>166</v>
      </c>
      <c r="B174" t="s">
        <v>34</v>
      </c>
      <c r="C174">
        <f t="shared" ca="1" si="41"/>
        <v>0.1740084901877117</v>
      </c>
      <c r="D174">
        <f t="shared" ca="1" si="52"/>
        <v>1.7486511867757544</v>
      </c>
      <c r="E174" s="12">
        <f t="shared" ca="1" si="51"/>
        <v>167.97998004495659</v>
      </c>
      <c r="G174">
        <f t="shared" ca="1" si="43"/>
        <v>0.85921220325713954</v>
      </c>
      <c r="H174">
        <f t="shared" ca="1" si="53"/>
        <v>0.20052951645181216</v>
      </c>
      <c r="I174">
        <v>169.92692807680754</v>
      </c>
      <c r="K174" s="2" t="s">
        <v>33</v>
      </c>
      <c r="O174">
        <f t="shared" ca="1" si="54"/>
        <v>1.9469480318509511</v>
      </c>
      <c r="P174">
        <f t="shared" ca="1" si="55"/>
        <v>1.7464189999999999</v>
      </c>
      <c r="Q174" s="27" t="s">
        <v>247</v>
      </c>
      <c r="S174">
        <f t="shared" ca="1" si="56"/>
        <v>166</v>
      </c>
      <c r="T174">
        <f t="shared" ca="1" si="57"/>
        <v>163</v>
      </c>
      <c r="U174">
        <f t="shared" ca="1" si="58"/>
        <v>3</v>
      </c>
    </row>
    <row r="175" spans="1:21" x14ac:dyDescent="0.3">
      <c r="A175">
        <f t="shared" si="50"/>
        <v>167</v>
      </c>
      <c r="B175" t="s">
        <v>33</v>
      </c>
      <c r="C175">
        <f t="shared" ca="1" si="41"/>
        <v>0.57592169734445231</v>
      </c>
      <c r="D175">
        <f t="shared" ca="1" si="52"/>
        <v>0.55178356963753783</v>
      </c>
      <c r="E175" s="12">
        <f t="shared" ca="1" si="51"/>
        <v>168.53176361459413</v>
      </c>
      <c r="G175">
        <f t="shared" ca="1" si="43"/>
        <v>0.6525253489648335</v>
      </c>
      <c r="H175">
        <f t="shared" ca="1" si="53"/>
        <v>0.47569545572107241</v>
      </c>
      <c r="I175">
        <v>170.40262353252862</v>
      </c>
      <c r="K175" s="2" t="s">
        <v>32</v>
      </c>
      <c r="O175">
        <f t="shared" ca="1" si="54"/>
        <v>1.8708599179344958</v>
      </c>
      <c r="P175">
        <f t="shared" ca="1" si="55"/>
        <v>1.3951640000000001</v>
      </c>
      <c r="Q175" s="27" t="s">
        <v>247</v>
      </c>
      <c r="S175">
        <f t="shared" ca="1" si="56"/>
        <v>167</v>
      </c>
      <c r="T175">
        <f t="shared" ca="1" si="57"/>
        <v>163</v>
      </c>
      <c r="U175">
        <f t="shared" ca="1" si="58"/>
        <v>4</v>
      </c>
    </row>
    <row r="176" spans="1:21" x14ac:dyDescent="0.3">
      <c r="A176">
        <f t="shared" si="50"/>
        <v>168</v>
      </c>
      <c r="B176" t="s">
        <v>32</v>
      </c>
      <c r="C176">
        <f t="shared" ca="1" si="41"/>
        <v>0.20217682859376329</v>
      </c>
      <c r="D176">
        <f t="shared" ca="1" si="52"/>
        <v>1.5986125754324565</v>
      </c>
      <c r="E176" s="12">
        <f t="shared" ca="1" si="51"/>
        <v>170.1303761900266</v>
      </c>
      <c r="G176">
        <f t="shared" ca="1" si="43"/>
        <v>0.49736471385829406</v>
      </c>
      <c r="H176">
        <f t="shared" ca="1" si="53"/>
        <v>0.74722185547624431</v>
      </c>
      <c r="I176">
        <v>171.14984538800488</v>
      </c>
      <c r="K176" s="2" t="s">
        <v>30</v>
      </c>
      <c r="O176">
        <f t="shared" ca="1" si="54"/>
        <v>1.0194691979782817</v>
      </c>
      <c r="P176">
        <f t="shared" ca="1" si="55"/>
        <v>0.27224700000000002</v>
      </c>
      <c r="Q176" s="27" t="s">
        <v>247</v>
      </c>
      <c r="S176">
        <f t="shared" ca="1" si="56"/>
        <v>168</v>
      </c>
      <c r="T176">
        <f t="shared" ca="1" si="57"/>
        <v>165</v>
      </c>
      <c r="U176">
        <f t="shared" ca="1" si="58"/>
        <v>3</v>
      </c>
    </row>
    <row r="177" spans="1:21" x14ac:dyDescent="0.3">
      <c r="A177">
        <f t="shared" si="50"/>
        <v>169</v>
      </c>
      <c r="B177" t="s">
        <v>31</v>
      </c>
      <c r="C177">
        <f t="shared" ca="1" si="41"/>
        <v>0.89937050560767651</v>
      </c>
      <c r="D177">
        <f t="shared" ca="1" si="52"/>
        <v>0.10606019859254461</v>
      </c>
      <c r="E177" s="12">
        <f t="shared" ca="1" si="51"/>
        <v>170.23643638861915</v>
      </c>
      <c r="G177">
        <f t="shared" ca="1" si="43"/>
        <v>0.1240591882036689</v>
      </c>
      <c r="H177">
        <f t="shared" ca="1" si="53"/>
        <v>2.1357866672063648</v>
      </c>
      <c r="I177">
        <v>173.94323640601181</v>
      </c>
      <c r="K177" s="2" t="s">
        <v>29</v>
      </c>
      <c r="O177">
        <f t="shared" ca="1" si="54"/>
        <v>3.7068000173926521</v>
      </c>
      <c r="P177">
        <f t="shared" ca="1" si="55"/>
        <v>1.571013</v>
      </c>
      <c r="Q177" s="27" t="s">
        <v>247</v>
      </c>
      <c r="S177">
        <f t="shared" ca="1" si="56"/>
        <v>169</v>
      </c>
      <c r="T177">
        <f t="shared" ca="1" si="57"/>
        <v>165</v>
      </c>
      <c r="U177">
        <f t="shared" ca="1" si="58"/>
        <v>4</v>
      </c>
    </row>
    <row r="178" spans="1:21" x14ac:dyDescent="0.3">
      <c r="A178">
        <f t="shared" si="50"/>
        <v>170</v>
      </c>
      <c r="B178" t="s">
        <v>30</v>
      </c>
      <c r="C178">
        <f t="shared" ca="1" si="41"/>
        <v>0.76253984236369143</v>
      </c>
      <c r="D178">
        <f t="shared" ca="1" si="52"/>
        <v>0.27110051958542214</v>
      </c>
      <c r="E178" s="12">
        <f t="shared" ca="1" si="51"/>
        <v>170.50753690820457</v>
      </c>
      <c r="G178">
        <f t="shared" ca="1" si="43"/>
        <v>0.91817048657858424</v>
      </c>
      <c r="H178">
        <f t="shared" ca="1" si="53"/>
        <v>0.13416235454680076</v>
      </c>
      <c r="I178">
        <v>171.28400774255167</v>
      </c>
      <c r="K178" s="2" t="s">
        <v>31</v>
      </c>
      <c r="O178">
        <f t="shared" ca="1" si="54"/>
        <v>0.7764708343470943</v>
      </c>
      <c r="P178">
        <f t="shared" ca="1" si="55"/>
        <v>0.64230799999999999</v>
      </c>
      <c r="Q178" s="27" t="s">
        <v>247</v>
      </c>
      <c r="S178">
        <f t="shared" ca="1" si="56"/>
        <v>170</v>
      </c>
      <c r="T178">
        <f t="shared" ca="1" si="57"/>
        <v>166</v>
      </c>
      <c r="U178">
        <f t="shared" ca="1" si="58"/>
        <v>4</v>
      </c>
    </row>
    <row r="179" spans="1:21" x14ac:dyDescent="0.3">
      <c r="A179">
        <f t="shared" si="50"/>
        <v>171</v>
      </c>
      <c r="B179" t="s">
        <v>29</v>
      </c>
      <c r="C179">
        <f t="shared" ca="1" si="41"/>
        <v>0.76851763518212057</v>
      </c>
      <c r="D179">
        <f t="shared" ca="1" si="52"/>
        <v>0.26329176872986038</v>
      </c>
      <c r="E179" s="12">
        <f t="shared" ca="1" si="51"/>
        <v>170.77082867693443</v>
      </c>
      <c r="G179">
        <f t="shared" ca="1" si="43"/>
        <v>0.62210161458600655</v>
      </c>
      <c r="H179">
        <f t="shared" ca="1" si="53"/>
        <v>0.52344199625378851</v>
      </c>
      <c r="I179">
        <v>171.80744973880545</v>
      </c>
      <c r="K179" s="2" t="s">
        <v>28</v>
      </c>
      <c r="O179">
        <f t="shared" ca="1" si="54"/>
        <v>1.036621061871017</v>
      </c>
      <c r="P179">
        <f t="shared" ca="1" si="55"/>
        <v>0.51317900000000005</v>
      </c>
      <c r="Q179" s="27" t="s">
        <v>247</v>
      </c>
      <c r="S179">
        <f t="shared" ca="1" si="56"/>
        <v>171</v>
      </c>
      <c r="T179">
        <f t="shared" ca="1" si="57"/>
        <v>166</v>
      </c>
      <c r="U179">
        <f t="shared" ca="1" si="58"/>
        <v>5</v>
      </c>
    </row>
    <row r="180" spans="1:21" x14ac:dyDescent="0.3">
      <c r="A180">
        <f t="shared" si="50"/>
        <v>172</v>
      </c>
      <c r="B180" t="s">
        <v>28</v>
      </c>
      <c r="C180">
        <f t="shared" ca="1" si="41"/>
        <v>0.10210031079416038</v>
      </c>
      <c r="D180">
        <f t="shared" ca="1" si="52"/>
        <v>2.2817995097989083</v>
      </c>
      <c r="E180" s="12">
        <f t="shared" ca="1" si="51"/>
        <v>173.05262818673333</v>
      </c>
      <c r="G180">
        <f t="shared" ca="1" si="43"/>
        <v>0.68466724132567003</v>
      </c>
      <c r="H180">
        <f t="shared" ca="1" si="53"/>
        <v>0.42761250200484302</v>
      </c>
      <c r="I180">
        <v>174.37084890801665</v>
      </c>
      <c r="K180" s="2" t="s">
        <v>90</v>
      </c>
      <c r="O180">
        <f t="shared" ca="1" si="54"/>
        <v>1.3182207212833248</v>
      </c>
      <c r="P180">
        <f t="shared" ca="1" si="55"/>
        <v>0.89060799999999996</v>
      </c>
      <c r="Q180" s="27" t="s">
        <v>247</v>
      </c>
      <c r="S180">
        <f t="shared" ca="1" si="56"/>
        <v>172</v>
      </c>
      <c r="T180">
        <f t="shared" ca="1" si="57"/>
        <v>169</v>
      </c>
      <c r="U180">
        <f t="shared" ca="1" si="58"/>
        <v>3</v>
      </c>
    </row>
    <row r="181" spans="1:21" x14ac:dyDescent="0.3">
      <c r="A181">
        <f t="shared" si="50"/>
        <v>173</v>
      </c>
      <c r="B181" t="s">
        <v>27</v>
      </c>
      <c r="C181">
        <f t="shared" ca="1" si="41"/>
        <v>0.10745978833782566</v>
      </c>
      <c r="D181">
        <f t="shared" ca="1" si="52"/>
        <v>2.230638563366766</v>
      </c>
      <c r="E181" s="12">
        <f t="shared" ca="1" si="51"/>
        <v>175.2832667501001</v>
      </c>
      <c r="G181">
        <f t="shared" ca="1" si="43"/>
        <v>0.20701910793717104</v>
      </c>
      <c r="H181">
        <f t="shared" ca="1" si="53"/>
        <v>1.6237343452711797</v>
      </c>
      <c r="I181">
        <v>182.52008339268991</v>
      </c>
      <c r="K181" s="2" t="s">
        <v>25</v>
      </c>
      <c r="O181">
        <f t="shared" ca="1" si="54"/>
        <v>7.2368166425898153</v>
      </c>
      <c r="P181">
        <f t="shared" ca="1" si="55"/>
        <v>5.6130820000000003</v>
      </c>
      <c r="Q181" s="27" t="s">
        <v>247</v>
      </c>
      <c r="S181">
        <f t="shared" ca="1" si="56"/>
        <v>173</v>
      </c>
      <c r="T181">
        <f t="shared" ca="1" si="57"/>
        <v>171</v>
      </c>
      <c r="U181">
        <f t="shared" ca="1" si="58"/>
        <v>2</v>
      </c>
    </row>
    <row r="182" spans="1:21" x14ac:dyDescent="0.3">
      <c r="A182">
        <f t="shared" si="50"/>
        <v>174</v>
      </c>
      <c r="B182" t="s">
        <v>26</v>
      </c>
      <c r="C182">
        <f t="shared" ca="1" si="41"/>
        <v>0.10736316932851475</v>
      </c>
      <c r="D182">
        <f t="shared" ca="1" si="52"/>
        <v>2.2315380856233755</v>
      </c>
      <c r="E182" s="12">
        <f t="shared" ca="1" si="51"/>
        <v>177.51480483572348</v>
      </c>
      <c r="G182">
        <f t="shared" ca="1" si="43"/>
        <v>0.16923992998020287</v>
      </c>
      <c r="H182">
        <f t="shared" ca="1" si="53"/>
        <v>1.8252280310305675</v>
      </c>
      <c r="I182">
        <v>185.90024032148344</v>
      </c>
      <c r="K182" s="2" t="s">
        <v>24</v>
      </c>
      <c r="O182">
        <f t="shared" ca="1" si="54"/>
        <v>8.385435485759956</v>
      </c>
      <c r="P182">
        <f t="shared" ca="1" si="55"/>
        <v>6.5602070000000001</v>
      </c>
      <c r="Q182" s="27" t="s">
        <v>247</v>
      </c>
      <c r="S182">
        <f t="shared" ca="1" si="56"/>
        <v>174</v>
      </c>
      <c r="T182">
        <f t="shared" ca="1" si="57"/>
        <v>171</v>
      </c>
      <c r="U182">
        <f t="shared" ca="1" si="58"/>
        <v>3</v>
      </c>
    </row>
    <row r="183" spans="1:21" x14ac:dyDescent="0.3">
      <c r="A183">
        <f t="shared" si="50"/>
        <v>175</v>
      </c>
      <c r="B183" t="s">
        <v>25</v>
      </c>
      <c r="C183">
        <f t="shared" ca="1" si="41"/>
        <v>0.40466605043122972</v>
      </c>
      <c r="D183">
        <f t="shared" ca="1" si="52"/>
        <v>0.90469311885429449</v>
      </c>
      <c r="E183" s="12">
        <f t="shared" ca="1" si="51"/>
        <v>178.41949795457776</v>
      </c>
      <c r="G183">
        <f t="shared" ca="1" si="43"/>
        <v>0.84509818408034509</v>
      </c>
      <c r="H183">
        <f t="shared" ca="1" si="53"/>
        <v>0.21709262836649268</v>
      </c>
      <c r="I183">
        <v>179.15385988062741</v>
      </c>
      <c r="K183" s="2" t="s">
        <v>23</v>
      </c>
      <c r="O183">
        <f t="shared" ca="1" si="54"/>
        <v>0.7343619260496439</v>
      </c>
      <c r="P183">
        <f t="shared" ca="1" si="55"/>
        <v>0.51726899999999998</v>
      </c>
      <c r="Q183" s="27" t="s">
        <v>247</v>
      </c>
      <c r="S183">
        <f t="shared" ca="1" si="56"/>
        <v>175</v>
      </c>
      <c r="T183">
        <f t="shared" ca="1" si="57"/>
        <v>171</v>
      </c>
      <c r="U183">
        <f t="shared" ca="1" si="58"/>
        <v>4</v>
      </c>
    </row>
    <row r="184" spans="1:21" x14ac:dyDescent="0.3">
      <c r="A184">
        <f t="shared" si="50"/>
        <v>176</v>
      </c>
      <c r="B184" t="s">
        <v>24</v>
      </c>
      <c r="C184">
        <f t="shared" ca="1" si="41"/>
        <v>0.65356515468689069</v>
      </c>
      <c r="D184">
        <f t="shared" ca="1" si="52"/>
        <v>0.42531304976008122</v>
      </c>
      <c r="E184" s="12">
        <f t="shared" ca="1" si="51"/>
        <v>178.84481100433786</v>
      </c>
      <c r="G184">
        <f t="shared" ca="1" si="43"/>
        <v>0.23083069545871682</v>
      </c>
      <c r="H184">
        <f t="shared" ca="1" si="53"/>
        <v>1.5148609214391482</v>
      </c>
      <c r="I184">
        <v>180.66872080206656</v>
      </c>
      <c r="K184" s="2" t="s">
        <v>27</v>
      </c>
      <c r="O184">
        <f t="shared" ca="1" si="54"/>
        <v>1.8239097977287031</v>
      </c>
      <c r="P184">
        <f t="shared" ca="1" si="55"/>
        <v>0.30904900000000002</v>
      </c>
      <c r="Q184" s="27" t="s">
        <v>247</v>
      </c>
      <c r="S184">
        <f t="shared" ca="1" si="56"/>
        <v>176</v>
      </c>
      <c r="T184">
        <f t="shared" ca="1" si="57"/>
        <v>171</v>
      </c>
      <c r="U184">
        <f t="shared" ca="1" si="58"/>
        <v>5</v>
      </c>
    </row>
    <row r="185" spans="1:21" x14ac:dyDescent="0.3">
      <c r="A185">
        <f t="shared" si="50"/>
        <v>177</v>
      </c>
      <c r="B185" t="s">
        <v>23</v>
      </c>
      <c r="C185">
        <f t="shared" ca="1" si="41"/>
        <v>0.46489347542024495</v>
      </c>
      <c r="D185">
        <f t="shared" ca="1" si="52"/>
        <v>0.76594698475653722</v>
      </c>
      <c r="E185" s="12">
        <f t="shared" ca="1" si="51"/>
        <v>179.6107579890944</v>
      </c>
      <c r="G185">
        <f t="shared" ca="1" si="43"/>
        <v>0.83624129163634553</v>
      </c>
      <c r="H185">
        <f t="shared" ca="1" si="53"/>
        <v>0.22762824535217718</v>
      </c>
      <c r="I185">
        <v>180.89634904741874</v>
      </c>
      <c r="K185" s="2" t="s">
        <v>22</v>
      </c>
      <c r="O185">
        <f t="shared" ca="1" si="54"/>
        <v>1.2855910583243428</v>
      </c>
      <c r="P185">
        <f t="shared" ca="1" si="55"/>
        <v>1.057963</v>
      </c>
      <c r="Q185" s="27" t="s">
        <v>247</v>
      </c>
      <c r="S185">
        <f t="shared" ca="1" si="56"/>
        <v>177</v>
      </c>
      <c r="T185">
        <f t="shared" ca="1" si="57"/>
        <v>173</v>
      </c>
      <c r="U185">
        <f t="shared" ca="1" si="58"/>
        <v>4</v>
      </c>
    </row>
    <row r="186" spans="1:21" x14ac:dyDescent="0.3">
      <c r="A186">
        <f t="shared" si="50"/>
        <v>178</v>
      </c>
      <c r="B186" t="s">
        <v>22</v>
      </c>
      <c r="C186">
        <f t="shared" ca="1" si="41"/>
        <v>7.3508176258203162E-2</v>
      </c>
      <c r="D186">
        <f t="shared" ca="1" si="52"/>
        <v>2.6103586373420287</v>
      </c>
      <c r="E186" s="12">
        <f t="shared" ca="1" si="51"/>
        <v>182.22111662643641</v>
      </c>
      <c r="G186">
        <f t="shared" ca="1" si="43"/>
        <v>0.59893351935393957</v>
      </c>
      <c r="H186">
        <f t="shared" ca="1" si="53"/>
        <v>0.56139483724905082</v>
      </c>
      <c r="I186">
        <v>183.08147822993897</v>
      </c>
      <c r="K186" s="2" t="s">
        <v>21</v>
      </c>
      <c r="O186">
        <f t="shared" ca="1" si="54"/>
        <v>0.86036160350255386</v>
      </c>
      <c r="P186">
        <f t="shared" ca="1" si="55"/>
        <v>0.29896699999999998</v>
      </c>
      <c r="Q186" s="27" t="s">
        <v>247</v>
      </c>
      <c r="S186">
        <f t="shared" ca="1" si="56"/>
        <v>178</v>
      </c>
      <c r="T186">
        <f t="shared" ca="1" si="57"/>
        <v>175</v>
      </c>
      <c r="U186">
        <f t="shared" ca="1" si="58"/>
        <v>3</v>
      </c>
    </row>
    <row r="187" spans="1:21" x14ac:dyDescent="0.3">
      <c r="A187">
        <f t="shared" si="50"/>
        <v>179</v>
      </c>
      <c r="B187" t="s">
        <v>21</v>
      </c>
      <c r="C187">
        <f t="shared" ca="1" si="41"/>
        <v>0.4708302609235997</v>
      </c>
      <c r="D187">
        <f t="shared" ca="1" si="52"/>
        <v>0.75325763012294233</v>
      </c>
      <c r="E187" s="12">
        <f t="shared" ca="1" si="51"/>
        <v>182.97437425655934</v>
      </c>
      <c r="G187">
        <f t="shared" ca="1" si="43"/>
        <v>0.38877912590835539</v>
      </c>
      <c r="H187">
        <f t="shared" ca="1" si="53"/>
        <v>0.99353406051388105</v>
      </c>
      <c r="I187">
        <v>184.07501229045286</v>
      </c>
      <c r="K187" s="2" t="s">
        <v>26</v>
      </c>
      <c r="O187">
        <f t="shared" ca="1" si="54"/>
        <v>1.1006380338935173</v>
      </c>
      <c r="P187">
        <f t="shared" ca="1" si="55"/>
        <v>0.107104</v>
      </c>
      <c r="Q187" s="27" t="s">
        <v>247</v>
      </c>
      <c r="S187">
        <f t="shared" ca="1" si="56"/>
        <v>179</v>
      </c>
      <c r="T187">
        <f t="shared" ca="1" si="57"/>
        <v>176</v>
      </c>
      <c r="U187">
        <f t="shared" ca="1" si="58"/>
        <v>3</v>
      </c>
    </row>
    <row r="188" spans="1:21" x14ac:dyDescent="0.3">
      <c r="A188">
        <f t="shared" si="50"/>
        <v>180</v>
      </c>
      <c r="B188" t="s">
        <v>20</v>
      </c>
      <c r="C188">
        <f t="shared" ca="1" si="41"/>
        <v>0.11390996030416001</v>
      </c>
      <c r="D188">
        <f t="shared" ca="1" si="52"/>
        <v>2.172346964554619</v>
      </c>
      <c r="E188" s="12">
        <f t="shared" ca="1" si="51"/>
        <v>185.14672122111395</v>
      </c>
      <c r="G188">
        <f t="shared" ca="1" si="43"/>
        <v>0.36921990724865117</v>
      </c>
      <c r="H188">
        <f t="shared" ca="1" si="53"/>
        <v>1.0451530220180738</v>
      </c>
      <c r="I188">
        <v>186.94539334350151</v>
      </c>
      <c r="K188" s="2" t="s">
        <v>20</v>
      </c>
      <c r="O188">
        <f t="shared" ca="1" si="54"/>
        <v>1.7986721223875577</v>
      </c>
      <c r="P188">
        <f t="shared" ca="1" si="55"/>
        <v>0.75351900000000005</v>
      </c>
      <c r="Q188" s="27" t="s">
        <v>247</v>
      </c>
      <c r="S188">
        <f t="shared" ca="1" si="56"/>
        <v>180</v>
      </c>
      <c r="T188">
        <f t="shared" ca="1" si="57"/>
        <v>178</v>
      </c>
      <c r="U188">
        <f t="shared" ca="1" si="58"/>
        <v>2</v>
      </c>
    </row>
    <row r="189" spans="1:21" x14ac:dyDescent="0.3">
      <c r="A189">
        <f t="shared" si="50"/>
        <v>181</v>
      </c>
      <c r="B189" t="s">
        <v>19</v>
      </c>
      <c r="C189">
        <f t="shared" ca="1" si="41"/>
        <v>0.38423932402391681</v>
      </c>
      <c r="D189">
        <f t="shared" ca="1" si="52"/>
        <v>0.95648968088196462</v>
      </c>
      <c r="E189" s="12">
        <f t="shared" ca="1" si="51"/>
        <v>186.10321090199591</v>
      </c>
      <c r="G189">
        <f t="shared" ca="1" si="43"/>
        <v>0.40980090770134958</v>
      </c>
      <c r="H189">
        <f t="shared" ca="1" si="53"/>
        <v>0.94087399236301106</v>
      </c>
      <c r="I189">
        <v>187.88626733586452</v>
      </c>
      <c r="K189" s="2" t="s">
        <v>19</v>
      </c>
      <c r="O189">
        <f t="shared" ca="1" si="54"/>
        <v>1.7830564338686088</v>
      </c>
      <c r="P189">
        <f t="shared" ca="1" si="55"/>
        <v>0.84218199999999999</v>
      </c>
      <c r="Q189" s="27" t="s">
        <v>247</v>
      </c>
      <c r="S189">
        <f t="shared" ca="1" si="56"/>
        <v>181</v>
      </c>
      <c r="T189">
        <f t="shared" ca="1" si="57"/>
        <v>179</v>
      </c>
      <c r="U189">
        <f t="shared" ca="1" si="58"/>
        <v>2</v>
      </c>
    </row>
    <row r="190" spans="1:21" x14ac:dyDescent="0.3">
      <c r="A190">
        <f t="shared" si="50"/>
        <v>182</v>
      </c>
      <c r="B190" t="s">
        <v>18</v>
      </c>
      <c r="C190">
        <f t="shared" ca="1" si="41"/>
        <v>0.9443672213707589</v>
      </c>
      <c r="D190">
        <f t="shared" ca="1" si="52"/>
        <v>5.7240182790369867E-2</v>
      </c>
      <c r="E190" s="12">
        <f t="shared" ca="1" si="51"/>
        <v>186.16045108478627</v>
      </c>
      <c r="G190">
        <f t="shared" ca="1" si="43"/>
        <v>0.22507245357887118</v>
      </c>
      <c r="H190">
        <f t="shared" ca="1" si="53"/>
        <v>1.5401230768770491</v>
      </c>
      <c r="I190">
        <v>189.42639041274157</v>
      </c>
      <c r="K190" s="2" t="s">
        <v>18</v>
      </c>
      <c r="O190">
        <f t="shared" ca="1" si="54"/>
        <v>3.2659393279552944</v>
      </c>
      <c r="P190">
        <f t="shared" ca="1" si="55"/>
        <v>1.725816</v>
      </c>
      <c r="Q190" s="27" t="s">
        <v>247</v>
      </c>
      <c r="S190">
        <f t="shared" ca="1" si="56"/>
        <v>182</v>
      </c>
      <c r="T190">
        <f t="shared" ca="1" si="57"/>
        <v>179</v>
      </c>
      <c r="U190">
        <f t="shared" ca="1" si="58"/>
        <v>3</v>
      </c>
    </row>
    <row r="191" spans="1:21" x14ac:dyDescent="0.3">
      <c r="A191">
        <f t="shared" si="50"/>
        <v>183</v>
      </c>
      <c r="B191" t="s">
        <v>17</v>
      </c>
      <c r="C191">
        <f t="shared" ca="1" si="41"/>
        <v>0.11251842516001409</v>
      </c>
      <c r="D191">
        <f t="shared" ca="1" si="52"/>
        <v>2.1846382915478859</v>
      </c>
      <c r="E191" s="12">
        <f t="shared" ca="1" si="51"/>
        <v>188.34508937633416</v>
      </c>
      <c r="G191">
        <f t="shared" ca="1" si="43"/>
        <v>0.67756567877343155</v>
      </c>
      <c r="H191">
        <f t="shared" ca="1" si="53"/>
        <v>0.43803895225735318</v>
      </c>
      <c r="I191">
        <v>189.86442936499893</v>
      </c>
      <c r="K191" s="2" t="s">
        <v>17</v>
      </c>
      <c r="O191">
        <f t="shared" ca="1" si="54"/>
        <v>1.5193399886647683</v>
      </c>
      <c r="P191">
        <f t="shared" ca="1" si="55"/>
        <v>1.0813010000000001</v>
      </c>
      <c r="Q191" s="27" t="s">
        <v>247</v>
      </c>
      <c r="S191">
        <f t="shared" ca="1" si="56"/>
        <v>183</v>
      </c>
      <c r="T191">
        <f t="shared" ca="1" si="57"/>
        <v>181</v>
      </c>
      <c r="U191">
        <f t="shared" ca="1" si="58"/>
        <v>2</v>
      </c>
    </row>
    <row r="192" spans="1:21" x14ac:dyDescent="0.3">
      <c r="A192">
        <f t="shared" si="50"/>
        <v>184</v>
      </c>
      <c r="B192" t="s">
        <v>16</v>
      </c>
      <c r="C192">
        <f t="shared" ca="1" si="41"/>
        <v>0.23623448611566444</v>
      </c>
      <c r="D192">
        <f t="shared" ca="1" si="52"/>
        <v>1.442930381999755</v>
      </c>
      <c r="E192" s="12">
        <f t="shared" ca="1" si="51"/>
        <v>189.78801975833392</v>
      </c>
      <c r="G192">
        <f t="shared" ca="1" si="43"/>
        <v>0.54906765286525117</v>
      </c>
      <c r="H192">
        <f t="shared" ca="1" si="53"/>
        <v>0.64832377997138779</v>
      </c>
      <c r="I192">
        <v>190.5127531449703</v>
      </c>
      <c r="K192" s="2" t="s">
        <v>16</v>
      </c>
      <c r="O192">
        <f t="shared" ca="1" si="54"/>
        <v>0.72473338663638742</v>
      </c>
      <c r="P192">
        <f t="shared" ca="1" si="55"/>
        <v>7.6410000000000006E-2</v>
      </c>
      <c r="Q192" s="27" t="s">
        <v>247</v>
      </c>
      <c r="S192">
        <f t="shared" ca="1" si="56"/>
        <v>184</v>
      </c>
      <c r="T192">
        <f t="shared" ca="1" si="57"/>
        <v>182</v>
      </c>
      <c r="U192">
        <f t="shared" ca="1" si="58"/>
        <v>2</v>
      </c>
    </row>
    <row r="193" spans="1:21" x14ac:dyDescent="0.3">
      <c r="A193">
        <f t="shared" si="50"/>
        <v>185</v>
      </c>
      <c r="B193" t="s">
        <v>15</v>
      </c>
      <c r="C193">
        <f t="shared" ca="1" si="41"/>
        <v>7.7558173444713607E-2</v>
      </c>
      <c r="D193">
        <f t="shared" ca="1" si="52"/>
        <v>2.5567269991078745</v>
      </c>
      <c r="E193" s="12">
        <f t="shared" ca="1" si="51"/>
        <v>192.34474675744178</v>
      </c>
      <c r="G193">
        <f t="shared" ca="1" si="43"/>
        <v>0.23242452427662041</v>
      </c>
      <c r="H193">
        <f t="shared" ca="1" si="53"/>
        <v>1.5079798975940573</v>
      </c>
      <c r="I193">
        <v>193.85272665503584</v>
      </c>
      <c r="K193" s="2" t="s">
        <v>15</v>
      </c>
      <c r="O193">
        <f t="shared" ca="1" si="54"/>
        <v>1.5079798975940548</v>
      </c>
      <c r="P193">
        <f t="shared" ca="1" si="55"/>
        <v>0</v>
      </c>
      <c r="Q193" s="27" t="s">
        <v>247</v>
      </c>
      <c r="S193">
        <f t="shared" ca="1" si="56"/>
        <v>185</v>
      </c>
      <c r="T193">
        <f t="shared" ca="1" si="57"/>
        <v>184</v>
      </c>
      <c r="U193">
        <f t="shared" ca="1" si="58"/>
        <v>1</v>
      </c>
    </row>
    <row r="194" spans="1:21" x14ac:dyDescent="0.3">
      <c r="A194">
        <f t="shared" si="50"/>
        <v>186</v>
      </c>
      <c r="B194" t="s">
        <v>14</v>
      </c>
      <c r="C194">
        <f t="shared" ca="1" si="41"/>
        <v>0.41524789536176443</v>
      </c>
      <c r="D194">
        <f t="shared" ca="1" si="52"/>
        <v>0.87887959886578071</v>
      </c>
      <c r="E194" s="12">
        <f t="shared" ca="1" si="51"/>
        <v>193.22362635630756</v>
      </c>
      <c r="G194">
        <f t="shared" ca="1" si="43"/>
        <v>0.19618909034946974</v>
      </c>
      <c r="H194">
        <f t="shared" ca="1" si="53"/>
        <v>1.6774665023090711</v>
      </c>
      <c r="I194">
        <v>195.75787764374471</v>
      </c>
      <c r="K194" s="2" t="s">
        <v>13</v>
      </c>
      <c r="O194">
        <f t="shared" ca="1" si="54"/>
        <v>2.5342512874371437</v>
      </c>
      <c r="P194">
        <f t="shared" ca="1" si="55"/>
        <v>0.85678500000000002</v>
      </c>
      <c r="Q194" s="27" t="s">
        <v>247</v>
      </c>
      <c r="S194">
        <f t="shared" ca="1" si="56"/>
        <v>186</v>
      </c>
      <c r="T194">
        <f t="shared" ca="1" si="57"/>
        <v>184</v>
      </c>
      <c r="U194">
        <f t="shared" ca="1" si="58"/>
        <v>2</v>
      </c>
    </row>
    <row r="195" spans="1:21" x14ac:dyDescent="0.3">
      <c r="A195">
        <f t="shared" si="50"/>
        <v>187</v>
      </c>
      <c r="B195" t="s">
        <v>13</v>
      </c>
      <c r="C195">
        <f t="shared" ca="1" si="41"/>
        <v>0.62979389651620743</v>
      </c>
      <c r="D195">
        <f t="shared" ca="1" si="52"/>
        <v>0.46236266150823857</v>
      </c>
      <c r="E195" s="12">
        <f t="shared" ca="1" si="51"/>
        <v>193.68598901781581</v>
      </c>
      <c r="G195">
        <f t="shared" ca="1" si="43"/>
        <v>0.83619426187255264</v>
      </c>
      <c r="H195">
        <f t="shared" ca="1" si="53"/>
        <v>0.22768448639979968</v>
      </c>
      <c r="I195">
        <v>194.08041114143563</v>
      </c>
      <c r="K195" s="2" t="s">
        <v>14</v>
      </c>
      <c r="O195">
        <f t="shared" ca="1" si="54"/>
        <v>0.39442212361981888</v>
      </c>
      <c r="P195">
        <f t="shared" ca="1" si="55"/>
        <v>0.166738</v>
      </c>
      <c r="Q195" s="27" t="s">
        <v>247</v>
      </c>
      <c r="S195">
        <f t="shared" ca="1" si="56"/>
        <v>187</v>
      </c>
      <c r="T195">
        <f t="shared" ca="1" si="57"/>
        <v>184</v>
      </c>
      <c r="U195">
        <f t="shared" ca="1" si="58"/>
        <v>3</v>
      </c>
    </row>
    <row r="196" spans="1:21" x14ac:dyDescent="0.3">
      <c r="A196">
        <f t="shared" si="50"/>
        <v>188</v>
      </c>
      <c r="B196" t="s">
        <v>12</v>
      </c>
      <c r="C196">
        <f t="shared" ca="1" si="41"/>
        <v>0.56315865452447966</v>
      </c>
      <c r="D196">
        <f t="shared" ca="1" si="52"/>
        <v>0.57419388854387199</v>
      </c>
      <c r="E196" s="12">
        <f t="shared" ca="1" si="51"/>
        <v>194.26018290635969</v>
      </c>
      <c r="G196">
        <f t="shared" ca="1" si="43"/>
        <v>0.87983504906610066</v>
      </c>
      <c r="H196">
        <f t="shared" ca="1" si="53"/>
        <v>0.17681099749225213</v>
      </c>
      <c r="I196">
        <v>195.93468864123696</v>
      </c>
      <c r="K196" s="2" t="s">
        <v>12</v>
      </c>
      <c r="O196">
        <f t="shared" ca="1" si="54"/>
        <v>1.6745057348772718</v>
      </c>
      <c r="P196">
        <f t="shared" ca="1" si="55"/>
        <v>1.497695</v>
      </c>
      <c r="Q196" s="27" t="s">
        <v>247</v>
      </c>
      <c r="S196">
        <f t="shared" ca="1" si="56"/>
        <v>188</v>
      </c>
      <c r="T196">
        <f t="shared" ca="1" si="57"/>
        <v>186</v>
      </c>
      <c r="U196">
        <f t="shared" ca="1" si="58"/>
        <v>2</v>
      </c>
    </row>
    <row r="197" spans="1:21" x14ac:dyDescent="0.3">
      <c r="A197">
        <f t="shared" si="50"/>
        <v>189</v>
      </c>
      <c r="B197" t="s">
        <v>11</v>
      </c>
      <c r="C197">
        <f t="shared" ca="1" si="41"/>
        <v>0.99980490356857976</v>
      </c>
      <c r="D197">
        <f t="shared" ca="1" si="52"/>
        <v>1.9511546520467089E-4</v>
      </c>
      <c r="E197" s="12">
        <f t="shared" ca="1" si="51"/>
        <v>194.26037802182489</v>
      </c>
      <c r="G197">
        <f t="shared" ca="1" si="43"/>
        <v>0.41212202411081178</v>
      </c>
      <c r="H197">
        <f t="shared" ca="1" si="53"/>
        <v>0.93522596262696533</v>
      </c>
      <c r="I197">
        <v>198.77489898573833</v>
      </c>
      <c r="K197" s="2" t="s">
        <v>9</v>
      </c>
      <c r="O197">
        <f t="shared" ca="1" si="54"/>
        <v>4.5145209639134407</v>
      </c>
      <c r="P197">
        <f t="shared" ca="1" si="55"/>
        <v>3.5792950000000001</v>
      </c>
      <c r="Q197" s="27" t="s">
        <v>247</v>
      </c>
      <c r="S197">
        <f t="shared" ca="1" si="56"/>
        <v>189</v>
      </c>
      <c r="T197">
        <f t="shared" ca="1" si="57"/>
        <v>186</v>
      </c>
      <c r="U197">
        <f t="shared" ca="1" si="58"/>
        <v>3</v>
      </c>
    </row>
    <row r="198" spans="1:21" x14ac:dyDescent="0.3">
      <c r="A198">
        <f t="shared" si="50"/>
        <v>190</v>
      </c>
      <c r="B198" t="s">
        <v>10</v>
      </c>
      <c r="C198">
        <f t="shared" ca="1" si="41"/>
        <v>0.64388469569424411</v>
      </c>
      <c r="D198">
        <f t="shared" ca="1" si="52"/>
        <v>0.44023561286110252</v>
      </c>
      <c r="E198" s="12">
        <f t="shared" ca="1" si="51"/>
        <v>194.70061363468599</v>
      </c>
      <c r="G198">
        <f t="shared" ca="1" si="43"/>
        <v>0.70904831131454671</v>
      </c>
      <c r="H198">
        <f t="shared" ca="1" si="53"/>
        <v>0.3926217788639364</v>
      </c>
      <c r="I198">
        <v>196.5101523330338</v>
      </c>
      <c r="K198" s="2" t="s">
        <v>10</v>
      </c>
      <c r="O198">
        <f t="shared" ca="1" si="54"/>
        <v>1.8095386983478079</v>
      </c>
      <c r="P198">
        <f t="shared" ca="1" si="55"/>
        <v>1.416917</v>
      </c>
      <c r="Q198" s="27" t="s">
        <v>247</v>
      </c>
      <c r="S198">
        <f t="shared" ca="1" si="56"/>
        <v>190</v>
      </c>
      <c r="T198">
        <f t="shared" ca="1" si="57"/>
        <v>186</v>
      </c>
      <c r="U198">
        <f t="shared" ca="1" si="58"/>
        <v>4</v>
      </c>
    </row>
    <row r="199" spans="1:21" x14ac:dyDescent="0.3">
      <c r="A199">
        <f t="shared" si="50"/>
        <v>191</v>
      </c>
      <c r="B199" t="s">
        <v>9</v>
      </c>
      <c r="C199">
        <f t="shared" ca="1" si="41"/>
        <v>0.7417367020815534</v>
      </c>
      <c r="D199">
        <f t="shared" ca="1" si="52"/>
        <v>0.29876094773523554</v>
      </c>
      <c r="E199" s="12">
        <f t="shared" ca="1" si="51"/>
        <v>194.99937458242124</v>
      </c>
      <c r="G199">
        <f t="shared" ca="1" si="43"/>
        <v>0.87454480681996527</v>
      </c>
      <c r="H199">
        <f t="shared" ca="1" si="53"/>
        <v>0.18284191293291308</v>
      </c>
      <c r="I199">
        <v>196.11753055416986</v>
      </c>
      <c r="K199" s="2" t="s">
        <v>8</v>
      </c>
      <c r="O199">
        <f t="shared" ca="1" si="54"/>
        <v>1.1181559717486209</v>
      </c>
      <c r="P199">
        <f t="shared" ca="1" si="55"/>
        <v>0.93531399999999998</v>
      </c>
      <c r="Q199" s="27" t="s">
        <v>247</v>
      </c>
      <c r="S199">
        <f t="shared" ca="1" si="56"/>
        <v>191</v>
      </c>
      <c r="T199">
        <f t="shared" ca="1" si="57"/>
        <v>186</v>
      </c>
      <c r="U199">
        <f t="shared" ca="1" si="58"/>
        <v>5</v>
      </c>
    </row>
    <row r="200" spans="1:21" x14ac:dyDescent="0.3">
      <c r="A200">
        <f t="shared" si="50"/>
        <v>192</v>
      </c>
      <c r="B200" t="s">
        <v>8</v>
      </c>
      <c r="C200">
        <f t="shared" ca="1" si="41"/>
        <v>0.55741933901228458</v>
      </c>
      <c r="D200">
        <f t="shared" ca="1" si="52"/>
        <v>0.58443746950155062</v>
      </c>
      <c r="E200" s="12">
        <f t="shared" ca="1" si="51"/>
        <v>195.58381205192279</v>
      </c>
      <c r="G200">
        <f t="shared" ca="1" si="43"/>
        <v>0.65531946554283127</v>
      </c>
      <c r="H200">
        <f t="shared" ca="1" si="53"/>
        <v>0.47142259276653742</v>
      </c>
      <c r="I200">
        <v>196.98157492580034</v>
      </c>
      <c r="K200" s="2" t="s">
        <v>5</v>
      </c>
      <c r="O200">
        <f t="shared" ca="1" si="54"/>
        <v>1.3977628738775536</v>
      </c>
      <c r="P200">
        <f t="shared" ca="1" si="55"/>
        <v>0.92634000000000005</v>
      </c>
      <c r="Q200" s="27" t="s">
        <v>247</v>
      </c>
      <c r="S200">
        <f t="shared" ca="1" si="56"/>
        <v>192</v>
      </c>
      <c r="T200">
        <f t="shared" ca="1" si="57"/>
        <v>186</v>
      </c>
      <c r="U200">
        <f t="shared" ca="1" si="58"/>
        <v>6</v>
      </c>
    </row>
    <row r="201" spans="1:21" x14ac:dyDescent="0.3">
      <c r="A201">
        <f t="shared" si="50"/>
        <v>193</v>
      </c>
      <c r="B201" t="s">
        <v>7</v>
      </c>
      <c r="C201">
        <f t="shared" ref="C201:C207" ca="1" si="59">RAND()</f>
        <v>0.99492865579962619</v>
      </c>
      <c r="D201">
        <f t="shared" ref="D201:D208" ca="1" si="60">-LN($C201)*$E$2</f>
        <v>5.0842471082502873E-3</v>
      </c>
      <c r="E201" s="12">
        <f t="shared" ca="1" si="51"/>
        <v>195.58889629903103</v>
      </c>
      <c r="G201">
        <f t="shared" ref="G201:G207" ca="1" si="61">RAND()</f>
        <v>0.27758288864690273</v>
      </c>
      <c r="H201">
        <f t="shared" ref="H201:H208" ca="1" si="62">-LN($G201*$I$2)</f>
        <v>1.330425856739718</v>
      </c>
      <c r="I201">
        <v>201.31561610662527</v>
      </c>
      <c r="K201" s="2" t="s">
        <v>11</v>
      </c>
      <c r="O201">
        <f t="shared" ref="O201:O208" ca="1" si="63">$I201-$E201</f>
        <v>5.726719807594236</v>
      </c>
      <c r="P201">
        <f t="shared" ref="P201:P208" ca="1" si="64">MAX(0, ROUND($O201-$H201, 6))</f>
        <v>4.3962940000000001</v>
      </c>
      <c r="Q201" s="27" t="s">
        <v>247</v>
      </c>
      <c r="S201">
        <f t="shared" ref="S201:S208" ca="1" si="65">COUNTIF($E$9:$E$208, "&lt;=" &amp;$E201)</f>
        <v>193</v>
      </c>
      <c r="T201">
        <f t="shared" ref="T201:T208" ca="1" si="66">COUNTIF($I$9:$I$208, "&lt;=" &amp;$E201)</f>
        <v>186</v>
      </c>
      <c r="U201">
        <f t="shared" ref="U201:U208" ca="1" si="67">$S201-$T201</f>
        <v>7</v>
      </c>
    </row>
    <row r="202" spans="1:21" x14ac:dyDescent="0.3">
      <c r="A202">
        <f t="shared" ref="A202:A207" si="68">1+$A201</f>
        <v>194</v>
      </c>
      <c r="B202" t="s">
        <v>6</v>
      </c>
      <c r="C202">
        <f t="shared" ca="1" si="59"/>
        <v>0.66507144032127807</v>
      </c>
      <c r="D202">
        <f t="shared" ca="1" si="60"/>
        <v>0.40786081504181704</v>
      </c>
      <c r="E202" s="12">
        <f t="shared" ref="E202:E207" ca="1" si="69">$E201+$D202</f>
        <v>195.99675711407286</v>
      </c>
      <c r="G202">
        <f t="shared" ca="1" si="61"/>
        <v>0.40238810633810618</v>
      </c>
      <c r="H202">
        <f t="shared" ca="1" si="62"/>
        <v>0.95912838161670233</v>
      </c>
      <c r="I202">
        <v>199.98519024988556</v>
      </c>
      <c r="K202" s="2" t="s">
        <v>3</v>
      </c>
      <c r="O202">
        <f t="shared" ca="1" si="63"/>
        <v>3.9884331358126985</v>
      </c>
      <c r="P202">
        <f t="shared" ca="1" si="64"/>
        <v>3.0293049999999999</v>
      </c>
      <c r="Q202" s="27" t="s">
        <v>247</v>
      </c>
      <c r="S202">
        <f t="shared" ca="1" si="65"/>
        <v>194</v>
      </c>
      <c r="T202">
        <f t="shared" ca="1" si="66"/>
        <v>188</v>
      </c>
      <c r="U202">
        <f t="shared" ca="1" si="67"/>
        <v>6</v>
      </c>
    </row>
    <row r="203" spans="1:21" x14ac:dyDescent="0.3">
      <c r="A203">
        <f t="shared" si="68"/>
        <v>195</v>
      </c>
      <c r="B203" t="s">
        <v>5</v>
      </c>
      <c r="C203">
        <f t="shared" ca="1" si="59"/>
        <v>0.75149249083595493</v>
      </c>
      <c r="D203">
        <f t="shared" ca="1" si="60"/>
        <v>0.28569406207328885</v>
      </c>
      <c r="E203" s="12">
        <f t="shared" ca="1" si="69"/>
        <v>196.28245117614614</v>
      </c>
      <c r="G203">
        <f t="shared" ca="1" si="61"/>
        <v>0.44516604430568985</v>
      </c>
      <c r="H203">
        <f t="shared" ca="1" si="62"/>
        <v>0.85809809731102282</v>
      </c>
      <c r="I203">
        <v>197.83967302311137</v>
      </c>
      <c r="K203" s="2" t="s">
        <v>6</v>
      </c>
      <c r="O203">
        <f t="shared" ca="1" si="63"/>
        <v>1.5572218469652341</v>
      </c>
      <c r="P203">
        <f t="shared" ca="1" si="64"/>
        <v>0.69912399999999997</v>
      </c>
      <c r="Q203" s="27" t="s">
        <v>247</v>
      </c>
      <c r="S203">
        <f t="shared" ca="1" si="65"/>
        <v>195</v>
      </c>
      <c r="T203">
        <f t="shared" ca="1" si="66"/>
        <v>189</v>
      </c>
      <c r="U203">
        <f t="shared" ca="1" si="67"/>
        <v>6</v>
      </c>
    </row>
    <row r="204" spans="1:21" x14ac:dyDescent="0.3">
      <c r="A204">
        <f t="shared" si="68"/>
        <v>196</v>
      </c>
      <c r="B204" t="s">
        <v>4</v>
      </c>
      <c r="C204">
        <f t="shared" ca="1" si="59"/>
        <v>0.47999477418459258</v>
      </c>
      <c r="D204">
        <f t="shared" ca="1" si="60"/>
        <v>0.73398006225489765</v>
      </c>
      <c r="E204" s="12">
        <f t="shared" ca="1" si="69"/>
        <v>197.01643123840103</v>
      </c>
      <c r="G204">
        <f t="shared" ca="1" si="61"/>
        <v>8.9863034984164591E-2</v>
      </c>
      <c r="H204">
        <f t="shared" ca="1" si="62"/>
        <v>2.4582587654953878</v>
      </c>
      <c r="I204">
        <v>206.95367050033934</v>
      </c>
      <c r="K204" s="2" t="s">
        <v>7</v>
      </c>
      <c r="O204">
        <f t="shared" ca="1" si="63"/>
        <v>9.9372392619383163</v>
      </c>
      <c r="P204">
        <f t="shared" ca="1" si="64"/>
        <v>7.47898</v>
      </c>
      <c r="Q204" s="27" t="s">
        <v>247</v>
      </c>
      <c r="S204">
        <f t="shared" ca="1" si="65"/>
        <v>196</v>
      </c>
      <c r="T204">
        <f t="shared" ca="1" si="66"/>
        <v>191</v>
      </c>
      <c r="U204">
        <f t="shared" ca="1" si="67"/>
        <v>5</v>
      </c>
    </row>
    <row r="205" spans="1:21" x14ac:dyDescent="0.3">
      <c r="A205">
        <f t="shared" si="68"/>
        <v>197</v>
      </c>
      <c r="B205" t="s">
        <v>3</v>
      </c>
      <c r="C205">
        <f t="shared" ca="1" si="59"/>
        <v>0.4091186957097579</v>
      </c>
      <c r="D205">
        <f t="shared" ca="1" si="60"/>
        <v>0.89374995548267366</v>
      </c>
      <c r="E205" s="12">
        <f t="shared" ca="1" si="69"/>
        <v>197.91018119388369</v>
      </c>
      <c r="G205">
        <f t="shared" ca="1" si="61"/>
        <v>0.81679043840777976</v>
      </c>
      <c r="H205">
        <f t="shared" ca="1" si="62"/>
        <v>0.25116288253052738</v>
      </c>
      <c r="I205">
        <v>199.02606186826887</v>
      </c>
      <c r="K205" s="2" t="s">
        <v>2</v>
      </c>
      <c r="O205">
        <f t="shared" ca="1" si="63"/>
        <v>1.1158806743851812</v>
      </c>
      <c r="P205">
        <f t="shared" ca="1" si="64"/>
        <v>0.86471799999999999</v>
      </c>
      <c r="Q205" s="27" t="s">
        <v>247</v>
      </c>
      <c r="S205">
        <f t="shared" ca="1" si="65"/>
        <v>197</v>
      </c>
      <c r="T205">
        <f t="shared" ca="1" si="66"/>
        <v>192</v>
      </c>
      <c r="U205">
        <f t="shared" ca="1" si="67"/>
        <v>5</v>
      </c>
    </row>
    <row r="206" spans="1:21" x14ac:dyDescent="0.3">
      <c r="A206">
        <f t="shared" si="68"/>
        <v>198</v>
      </c>
      <c r="B206" t="s">
        <v>2</v>
      </c>
      <c r="C206">
        <f t="shared" ca="1" si="59"/>
        <v>8.3143257532562576E-2</v>
      </c>
      <c r="D206">
        <f t="shared" ca="1" si="60"/>
        <v>2.4871901646338657</v>
      </c>
      <c r="E206" s="12">
        <f t="shared" ca="1" si="69"/>
        <v>200.39737135851755</v>
      </c>
      <c r="G206">
        <f t="shared" ca="1" si="61"/>
        <v>0.16756882595173195</v>
      </c>
      <c r="H206">
        <f t="shared" ca="1" si="62"/>
        <v>1.8351512750788597</v>
      </c>
      <c r="I206">
        <v>203.15076738170413</v>
      </c>
      <c r="K206" s="2" t="s">
        <v>1</v>
      </c>
      <c r="O206">
        <f t="shared" ca="1" si="63"/>
        <v>2.7533960231865819</v>
      </c>
      <c r="P206">
        <f t="shared" ca="1" si="64"/>
        <v>0.91824499999999998</v>
      </c>
      <c r="Q206" s="27" t="s">
        <v>247</v>
      </c>
      <c r="S206">
        <f t="shared" ca="1" si="65"/>
        <v>198</v>
      </c>
      <c r="T206">
        <f t="shared" ca="1" si="66"/>
        <v>195</v>
      </c>
      <c r="U206">
        <f t="shared" ca="1" si="67"/>
        <v>3</v>
      </c>
    </row>
    <row r="207" spans="1:21" x14ac:dyDescent="0.3">
      <c r="A207">
        <f t="shared" si="68"/>
        <v>199</v>
      </c>
      <c r="B207" t="s">
        <v>1</v>
      </c>
      <c r="C207">
        <f t="shared" ca="1" si="59"/>
        <v>7.4908559922062357E-2</v>
      </c>
      <c r="D207">
        <f t="shared" ca="1" si="60"/>
        <v>2.5914871103152293</v>
      </c>
      <c r="E207" s="12">
        <f t="shared" ca="1" si="69"/>
        <v>202.98885846883277</v>
      </c>
      <c r="G207">
        <f t="shared" ca="1" si="61"/>
        <v>0.27366400369153054</v>
      </c>
      <c r="H207">
        <f t="shared" ca="1" si="62"/>
        <v>1.3446443531398178</v>
      </c>
      <c r="I207">
        <v>204.49541173484394</v>
      </c>
      <c r="K207" s="2" t="s">
        <v>4</v>
      </c>
      <c r="O207">
        <f t="shared" ca="1" si="63"/>
        <v>1.5065532660111671</v>
      </c>
      <c r="P207">
        <f t="shared" ca="1" si="64"/>
        <v>0.161909</v>
      </c>
      <c r="Q207" s="27" t="s">
        <v>247</v>
      </c>
      <c r="S207">
        <f t="shared" ca="1" si="65"/>
        <v>199</v>
      </c>
      <c r="T207">
        <f t="shared" ca="1" si="66"/>
        <v>196</v>
      </c>
      <c r="U207">
        <f t="shared" ca="1" si="67"/>
        <v>3</v>
      </c>
    </row>
    <row r="208" spans="1:21" x14ac:dyDescent="0.3">
      <c r="A208">
        <f t="shared" ref="A208" si="70">1+$A207</f>
        <v>200</v>
      </c>
      <c r="B208" t="s">
        <v>0</v>
      </c>
      <c r="C208">
        <f t="shared" ref="C208" ca="1" si="71">RAND()</f>
        <v>2.1189638636459618E-3</v>
      </c>
      <c r="D208">
        <f t="shared" ca="1" si="60"/>
        <v>6.1568280533355066</v>
      </c>
      <c r="E208" s="12">
        <f t="shared" ref="E208" ca="1" si="72">$E207+$D208</f>
        <v>209.14568652216829</v>
      </c>
      <c r="G208">
        <f t="shared" ref="G208" ca="1" si="73">RAND()</f>
        <v>0.70834141134022433</v>
      </c>
      <c r="H208">
        <f t="shared" ca="1" si="62"/>
        <v>0.39361924628116685</v>
      </c>
      <c r="I208">
        <v>209.53930576844945</v>
      </c>
      <c r="K208" s="2" t="s">
        <v>0</v>
      </c>
      <c r="O208">
        <f t="shared" ca="1" si="63"/>
        <v>0.39361924628116185</v>
      </c>
      <c r="P208">
        <f t="shared" ca="1" si="64"/>
        <v>0</v>
      </c>
      <c r="Q208" s="27" t="s">
        <v>247</v>
      </c>
      <c r="S208">
        <f t="shared" ca="1" si="65"/>
        <v>200</v>
      </c>
      <c r="T208">
        <f t="shared" ca="1" si="66"/>
        <v>199</v>
      </c>
      <c r="U208">
        <f t="shared" ca="1" si="67"/>
        <v>1</v>
      </c>
    </row>
  </sheetData>
  <mergeCells count="1">
    <mergeCell ref="X1:Y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1E7C9-6292-4B03-A25E-603050EA3D00}">
  <sheetPr codeName="Foglio1"/>
  <dimension ref="A1:Z208"/>
  <sheetViews>
    <sheetView topLeftCell="I1" zoomScale="70" zoomScaleNormal="70" workbookViewId="0">
      <selection activeCell="D9" sqref="D9"/>
    </sheetView>
  </sheetViews>
  <sheetFormatPr defaultRowHeight="14.4" x14ac:dyDescent="0.3"/>
  <cols>
    <col min="4" max="4" width="10.33203125" customWidth="1"/>
    <col min="8" max="8" width="9.6640625" customWidth="1"/>
    <col min="11" max="11" width="10" style="2" bestFit="1" customWidth="1"/>
    <col min="12" max="13" width="8.88671875" style="5"/>
    <col min="15" max="15" width="10.6640625" customWidth="1"/>
    <col min="16" max="16" width="12.88671875" bestFit="1" customWidth="1"/>
    <col min="17" max="17" width="12" bestFit="1" customWidth="1"/>
    <col min="25" max="25" width="10.109375" bestFit="1" customWidth="1"/>
    <col min="26" max="26" width="9.6640625" bestFit="1" customWidth="1"/>
  </cols>
  <sheetData>
    <row r="1" spans="1:26" x14ac:dyDescent="0.3">
      <c r="C1" s="13" t="s">
        <v>229</v>
      </c>
      <c r="D1" s="13"/>
      <c r="E1" s="16">
        <v>1</v>
      </c>
      <c r="G1" s="13" t="s">
        <v>209</v>
      </c>
      <c r="H1" s="13"/>
      <c r="I1" s="16">
        <v>1.05</v>
      </c>
      <c r="O1" s="16" t="s">
        <v>235</v>
      </c>
      <c r="P1" s="16"/>
      <c r="Q1" s="16">
        <f>E1/I1</f>
        <v>0.95238095238095233</v>
      </c>
    </row>
    <row r="2" spans="1:26" x14ac:dyDescent="0.3">
      <c r="A2" s="23" t="s">
        <v>245</v>
      </c>
      <c r="C2" s="13" t="s">
        <v>231</v>
      </c>
      <c r="D2" s="13"/>
      <c r="E2" s="16">
        <f>1/E1</f>
        <v>1</v>
      </c>
      <c r="G2" s="13" t="s">
        <v>230</v>
      </c>
      <c r="H2" s="13"/>
      <c r="I2" s="16">
        <f>1/I1</f>
        <v>0.95238095238095233</v>
      </c>
      <c r="O2" s="16" t="s">
        <v>243</v>
      </c>
      <c r="P2" s="16"/>
      <c r="Q2" s="16">
        <f>1/(I1*(1-Q1))</f>
        <v>19.999999999999975</v>
      </c>
      <c r="S2" s="21" t="s">
        <v>222</v>
      </c>
      <c r="T2" s="18"/>
      <c r="U2" s="18">
        <f ca="1">MAX(U9:U208)</f>
        <v>17</v>
      </c>
    </row>
    <row r="3" spans="1:26" ht="15.6" x14ac:dyDescent="0.3">
      <c r="A3" s="24" t="s">
        <v>246</v>
      </c>
      <c r="C3" s="15" t="s">
        <v>232</v>
      </c>
      <c r="D3" s="15"/>
      <c r="E3" s="15">
        <f ca="1">AVERAGE($D$9:$D$208)</f>
        <v>1.0457284326108414</v>
      </c>
      <c r="G3" s="15" t="s">
        <v>233</v>
      </c>
      <c r="H3" s="15"/>
      <c r="I3" s="15">
        <f ca="1">AVERAGE($H$9:$H$208)</f>
        <v>0.98073312358812192</v>
      </c>
      <c r="O3" s="15" t="s">
        <v>234</v>
      </c>
      <c r="P3" s="17"/>
      <c r="Q3" s="17">
        <f ca="1">AVERAGE($O$9:$O$208)</f>
        <v>7.5366056995989688</v>
      </c>
    </row>
    <row r="4" spans="1:26" x14ac:dyDescent="0.3">
      <c r="E4" s="12"/>
      <c r="O4" s="16" t="s">
        <v>236</v>
      </c>
      <c r="P4" s="16"/>
      <c r="Q4" s="16">
        <f>Q1/(I1*(1-Q1))</f>
        <v>19.047619047619023</v>
      </c>
    </row>
    <row r="5" spans="1:26" x14ac:dyDescent="0.3">
      <c r="A5" s="25" t="s">
        <v>242</v>
      </c>
      <c r="B5" s="26"/>
      <c r="C5" s="25">
        <v>200</v>
      </c>
      <c r="D5" s="1"/>
      <c r="E5" s="1"/>
      <c r="G5" s="1"/>
      <c r="H5" s="1"/>
      <c r="I5" s="1"/>
      <c r="J5" s="1"/>
      <c r="K5" s="3"/>
      <c r="L5" s="6"/>
      <c r="M5" s="6"/>
      <c r="N5" s="1"/>
      <c r="O5" s="15" t="s">
        <v>237</v>
      </c>
      <c r="P5" s="15"/>
      <c r="Q5" s="17">
        <f ca="1">AVERAGE(Q9:Q208)</f>
        <v>6.5558725760108736</v>
      </c>
      <c r="R5" s="1"/>
      <c r="S5" s="1"/>
      <c r="T5" s="1"/>
      <c r="U5" s="1"/>
      <c r="V5" s="1"/>
      <c r="W5" s="1"/>
    </row>
    <row r="6" spans="1:26" x14ac:dyDescent="0.3">
      <c r="B6" s="1"/>
      <c r="C6" s="1"/>
      <c r="D6" s="1"/>
      <c r="E6" s="1"/>
      <c r="F6" s="1"/>
      <c r="G6" s="1"/>
      <c r="H6" s="1"/>
      <c r="I6" s="1"/>
      <c r="J6" s="1"/>
      <c r="K6" s="3"/>
      <c r="L6" s="6"/>
      <c r="M6" s="6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6" x14ac:dyDescent="0.3">
      <c r="D7" s="11" t="s">
        <v>207</v>
      </c>
      <c r="E7" s="11" t="s">
        <v>208</v>
      </c>
      <c r="F7" s="22"/>
      <c r="G7" s="11"/>
      <c r="H7" s="11" t="s">
        <v>207</v>
      </c>
      <c r="I7" s="11" t="s">
        <v>206</v>
      </c>
      <c r="K7" s="4" t="s">
        <v>205</v>
      </c>
      <c r="L7" s="7" t="s">
        <v>210</v>
      </c>
      <c r="M7" s="9" t="s">
        <v>212</v>
      </c>
      <c r="O7" s="11" t="s">
        <v>207</v>
      </c>
      <c r="P7" s="11" t="s">
        <v>207</v>
      </c>
      <c r="Q7" s="11" t="s">
        <v>238</v>
      </c>
      <c r="S7" s="11" t="s">
        <v>216</v>
      </c>
      <c r="T7" s="11" t="s">
        <v>218</v>
      </c>
      <c r="U7" s="11" t="s">
        <v>220</v>
      </c>
      <c r="X7" s="11"/>
      <c r="Y7" s="11" t="s">
        <v>223</v>
      </c>
      <c r="Z7" s="11" t="s">
        <v>225</v>
      </c>
    </row>
    <row r="8" spans="1:26" x14ac:dyDescent="0.3">
      <c r="A8" s="14" t="s">
        <v>241</v>
      </c>
      <c r="B8" s="11" t="s">
        <v>240</v>
      </c>
      <c r="C8" s="11" t="s">
        <v>202</v>
      </c>
      <c r="D8" s="11" t="s">
        <v>204</v>
      </c>
      <c r="E8" s="11" t="s">
        <v>203</v>
      </c>
      <c r="G8" s="11" t="s">
        <v>202</v>
      </c>
      <c r="H8" s="11" t="s">
        <v>201</v>
      </c>
      <c r="I8" s="11" t="s">
        <v>200</v>
      </c>
      <c r="K8" s="4" t="s">
        <v>228</v>
      </c>
      <c r="L8" s="8" t="s">
        <v>211</v>
      </c>
      <c r="M8" s="9" t="s">
        <v>213</v>
      </c>
      <c r="O8" s="11" t="s">
        <v>214</v>
      </c>
      <c r="P8" s="11" t="s">
        <v>215</v>
      </c>
      <c r="Q8" s="11" t="s">
        <v>239</v>
      </c>
      <c r="S8" s="19" t="s">
        <v>217</v>
      </c>
      <c r="T8" s="19" t="s">
        <v>219</v>
      </c>
      <c r="U8" s="20" t="s">
        <v>221</v>
      </c>
      <c r="X8" s="11" t="s">
        <v>220</v>
      </c>
      <c r="Y8" s="11" t="s">
        <v>224</v>
      </c>
      <c r="Z8" s="11" t="s">
        <v>226</v>
      </c>
    </row>
    <row r="9" spans="1:26" x14ac:dyDescent="0.3">
      <c r="A9">
        <v>1</v>
      </c>
      <c r="B9" t="s">
        <v>199</v>
      </c>
      <c r="C9">
        <f ca="1">'Modello P-C SJF'!$C9</f>
        <v>0.64589701867736449</v>
      </c>
      <c r="D9">
        <f ca="1">'Modello P-C SJF'!$D9</f>
        <v>0.43711520171939677</v>
      </c>
      <c r="E9">
        <f ca="1">'Modello P-C SJF'!$E9</f>
        <v>0.43711520171939677</v>
      </c>
      <c r="G9">
        <f ca="1">'Modello P-C SJF'!$G9</f>
        <v>0.89204681377762207</v>
      </c>
      <c r="H9">
        <f ca="1">'Modello P-C SJF'!$H9</f>
        <v>0.1630268301352043</v>
      </c>
      <c r="I9">
        <f ca="1">$E9+$H9</f>
        <v>0.60014203185460113</v>
      </c>
      <c r="K9" s="2" t="s">
        <v>199</v>
      </c>
      <c r="O9">
        <f t="shared" ref="O9:O40" ca="1" si="0">$I9-$E9</f>
        <v>0.16302683013520436</v>
      </c>
      <c r="P9">
        <f t="shared" ref="P9:P40" ca="1" si="1">MAX(0, ROUND($O9-$H9, 6))</f>
        <v>0</v>
      </c>
      <c r="Q9">
        <v>0</v>
      </c>
      <c r="S9">
        <f t="shared" ref="S9:S40" ca="1" si="2">COUNTIF($E$9:$E$208, "&lt;=" &amp;$E9)</f>
        <v>1</v>
      </c>
      <c r="T9">
        <f t="shared" ref="T9:T40" ca="1" si="3">COUNTIF($I$9:$I$208, "&lt;=" &amp;$E9)</f>
        <v>0</v>
      </c>
      <c r="U9">
        <f t="shared" ref="U9:U40" ca="1" si="4">$S9-$T9</f>
        <v>1</v>
      </c>
      <c r="X9">
        <v>1</v>
      </c>
      <c r="Y9">
        <f t="shared" ref="Y9:Y28" ca="1" si="5">COUNTIF($U$9:$U$208, "&lt;=" &amp;$X9)</f>
        <v>11</v>
      </c>
      <c r="Z9">
        <f ca="1">Y9/C5</f>
        <v>5.5E-2</v>
      </c>
    </row>
    <row r="10" spans="1:26" x14ac:dyDescent="0.3">
      <c r="A10">
        <f t="shared" ref="A10:A41" si="6">$A9 + 1</f>
        <v>2</v>
      </c>
      <c r="B10" t="s">
        <v>198</v>
      </c>
      <c r="C10">
        <f ca="1">'Modello P-C SJF'!$C10</f>
        <v>0.13462289166565844</v>
      </c>
      <c r="D10">
        <f ca="1">'Modello P-C SJF'!$D10</f>
        <v>2.0052778044218393</v>
      </c>
      <c r="E10">
        <f ca="1">'Modello P-C SJF'!$E10</f>
        <v>2.442393006141236</v>
      </c>
      <c r="G10">
        <f ca="1">'Modello P-C SJF'!$G10</f>
        <v>0.92669104165989136</v>
      </c>
      <c r="H10">
        <f ca="1">'Modello P-C SJF'!$H10</f>
        <v>0.12492522153141586</v>
      </c>
      <c r="I10">
        <f t="shared" ref="I10:I41" ca="1" si="7">MAX($E10+$H10, $H10+$I9)</f>
        <v>2.5673182276726521</v>
      </c>
      <c r="K10" s="2" t="s">
        <v>198</v>
      </c>
      <c r="O10">
        <f t="shared" ca="1" si="0"/>
        <v>0.12492522153141605</v>
      </c>
      <c r="P10">
        <f t="shared" ca="1" si="1"/>
        <v>0</v>
      </c>
      <c r="Q10">
        <f t="shared" ref="Q10:Q41" ca="1" si="8">MAX(0,$Q9+$H9-$D10)</f>
        <v>0</v>
      </c>
      <c r="S10">
        <f t="shared" ca="1" si="2"/>
        <v>2</v>
      </c>
      <c r="T10">
        <f t="shared" ca="1" si="3"/>
        <v>1</v>
      </c>
      <c r="U10">
        <f t="shared" ca="1" si="4"/>
        <v>1</v>
      </c>
      <c r="X10">
        <f t="shared" ref="X10:X25" si="9">$X9 + 1</f>
        <v>2</v>
      </c>
      <c r="Y10">
        <f t="shared" ca="1" si="5"/>
        <v>25</v>
      </c>
      <c r="Z10">
        <f t="shared" ref="Z10:Z28" ca="1" si="10">($Y10-$Y9)/$C$5</f>
        <v>7.0000000000000007E-2</v>
      </c>
    </row>
    <row r="11" spans="1:26" x14ac:dyDescent="0.3">
      <c r="A11">
        <f t="shared" si="6"/>
        <v>3</v>
      </c>
      <c r="B11" t="s">
        <v>197</v>
      </c>
      <c r="C11">
        <f ca="1">'Modello P-C SJF'!$C11</f>
        <v>0.17341769473837199</v>
      </c>
      <c r="D11">
        <f ca="1">'Modello P-C SJF'!$D11</f>
        <v>1.7520521740613202</v>
      </c>
      <c r="E11">
        <f ca="1">'Modello P-C SJF'!$E11</f>
        <v>4.194445180202556</v>
      </c>
      <c r="G11">
        <f ca="1">'Modello P-C SJF'!$G11</f>
        <v>0.34955164531039273</v>
      </c>
      <c r="H11">
        <f ca="1">'Modello P-C SJF'!$H11</f>
        <v>1.099894123266038</v>
      </c>
      <c r="I11">
        <f t="shared" ca="1" si="7"/>
        <v>5.2943393034685942</v>
      </c>
      <c r="K11" s="2" t="s">
        <v>197</v>
      </c>
      <c r="O11">
        <f t="shared" ca="1" si="0"/>
        <v>1.0998941232660382</v>
      </c>
      <c r="P11">
        <f t="shared" ca="1" si="1"/>
        <v>0</v>
      </c>
      <c r="Q11">
        <f t="shared" ca="1" si="8"/>
        <v>0</v>
      </c>
      <c r="S11">
        <f t="shared" ca="1" si="2"/>
        <v>3</v>
      </c>
      <c r="T11">
        <f t="shared" ca="1" si="3"/>
        <v>2</v>
      </c>
      <c r="U11">
        <f t="shared" ca="1" si="4"/>
        <v>1</v>
      </c>
      <c r="X11">
        <f t="shared" si="9"/>
        <v>3</v>
      </c>
      <c r="Y11">
        <f t="shared" ca="1" si="5"/>
        <v>35</v>
      </c>
      <c r="Z11">
        <f t="shared" ca="1" si="10"/>
        <v>0.05</v>
      </c>
    </row>
    <row r="12" spans="1:26" x14ac:dyDescent="0.3">
      <c r="A12">
        <f t="shared" si="6"/>
        <v>4</v>
      </c>
      <c r="B12" t="s">
        <v>196</v>
      </c>
      <c r="C12">
        <f ca="1">'Modello P-C SJF'!$C12</f>
        <v>6.068466716525045E-2</v>
      </c>
      <c r="D12">
        <f ca="1">'Modello P-C SJF'!$D12</f>
        <v>2.8020642130684905</v>
      </c>
      <c r="E12">
        <f ca="1">'Modello P-C SJF'!$E12</f>
        <v>6.9965093932710465</v>
      </c>
      <c r="G12">
        <f ca="1">'Modello P-C SJF'!$G12</f>
        <v>0.84018261363190205</v>
      </c>
      <c r="H12">
        <f ca="1">'Modello P-C SJF'!$H12</f>
        <v>0.22292617776071683</v>
      </c>
      <c r="I12">
        <f t="shared" ca="1" si="7"/>
        <v>7.219435571031763</v>
      </c>
      <c r="K12" s="2" t="s">
        <v>196</v>
      </c>
      <c r="O12">
        <f t="shared" ca="1" si="0"/>
        <v>0.22292617776071655</v>
      </c>
      <c r="P12">
        <f t="shared" ca="1" si="1"/>
        <v>0</v>
      </c>
      <c r="Q12">
        <f t="shared" ca="1" si="8"/>
        <v>0</v>
      </c>
      <c r="S12">
        <f t="shared" ca="1" si="2"/>
        <v>4</v>
      </c>
      <c r="T12">
        <f t="shared" ca="1" si="3"/>
        <v>3</v>
      </c>
      <c r="U12">
        <f t="shared" ca="1" si="4"/>
        <v>1</v>
      </c>
      <c r="X12">
        <f t="shared" si="9"/>
        <v>4</v>
      </c>
      <c r="Y12">
        <f t="shared" ca="1" si="5"/>
        <v>56</v>
      </c>
      <c r="Z12">
        <f t="shared" ca="1" si="10"/>
        <v>0.105</v>
      </c>
    </row>
    <row r="13" spans="1:26" x14ac:dyDescent="0.3">
      <c r="A13">
        <f t="shared" si="6"/>
        <v>5</v>
      </c>
      <c r="B13" t="s">
        <v>195</v>
      </c>
      <c r="C13">
        <f ca="1">'Modello P-C SJF'!$C13</f>
        <v>0.48657816423584455</v>
      </c>
      <c r="D13">
        <f ca="1">'Modello P-C SJF'!$D13</f>
        <v>0.72035772379527307</v>
      </c>
      <c r="E13">
        <f ca="1">'Modello P-C SJF'!$E13</f>
        <v>7.7168671170663199</v>
      </c>
      <c r="G13">
        <f ca="1">'Modello P-C SJF'!$G13</f>
        <v>4.8332645267388008E-2</v>
      </c>
      <c r="H13">
        <f ca="1">'Modello P-C SJF'!$H13</f>
        <v>3.0784382253475795</v>
      </c>
      <c r="I13">
        <f t="shared" ca="1" si="7"/>
        <v>10.795305342413899</v>
      </c>
      <c r="K13" s="2" t="s">
        <v>195</v>
      </c>
      <c r="O13">
        <f t="shared" ca="1" si="0"/>
        <v>3.078438225347579</v>
      </c>
      <c r="P13">
        <f t="shared" ca="1" si="1"/>
        <v>0</v>
      </c>
      <c r="Q13">
        <f t="shared" ca="1" si="8"/>
        <v>0</v>
      </c>
      <c r="S13">
        <f t="shared" ca="1" si="2"/>
        <v>5</v>
      </c>
      <c r="T13">
        <f t="shared" ca="1" si="3"/>
        <v>4</v>
      </c>
      <c r="U13">
        <f t="shared" ca="1" si="4"/>
        <v>1</v>
      </c>
      <c r="X13">
        <f t="shared" si="9"/>
        <v>5</v>
      </c>
      <c r="Y13">
        <f t="shared" ca="1" si="5"/>
        <v>71</v>
      </c>
      <c r="Z13">
        <f t="shared" ca="1" si="10"/>
        <v>7.4999999999999997E-2</v>
      </c>
    </row>
    <row r="14" spans="1:26" x14ac:dyDescent="0.3">
      <c r="A14">
        <f t="shared" si="6"/>
        <v>6</v>
      </c>
      <c r="B14" t="s">
        <v>194</v>
      </c>
      <c r="C14">
        <f ca="1">'Modello P-C SJF'!$C14</f>
        <v>0.79110371027816917</v>
      </c>
      <c r="D14">
        <f ca="1">'Modello P-C SJF'!$D14</f>
        <v>0.23432620694155346</v>
      </c>
      <c r="E14">
        <f ca="1">'Modello P-C SJF'!$E14</f>
        <v>7.9511933240078729</v>
      </c>
      <c r="G14">
        <f ca="1">'Modello P-C SJF'!$G14</f>
        <v>0.44878677466087658</v>
      </c>
      <c r="H14">
        <f ca="1">'Modello P-C SJF'!$H14</f>
        <v>0.84999755760170759</v>
      </c>
      <c r="I14">
        <f t="shared" ca="1" si="7"/>
        <v>11.645302900015606</v>
      </c>
      <c r="K14" s="2" t="s">
        <v>194</v>
      </c>
      <c r="O14">
        <f t="shared" ca="1" si="0"/>
        <v>3.6941095760077332</v>
      </c>
      <c r="P14">
        <f t="shared" ca="1" si="1"/>
        <v>2.844112</v>
      </c>
      <c r="Q14">
        <f t="shared" ca="1" si="8"/>
        <v>2.844112018406026</v>
      </c>
      <c r="S14">
        <f t="shared" ca="1" si="2"/>
        <v>6</v>
      </c>
      <c r="T14">
        <f t="shared" ca="1" si="3"/>
        <v>4</v>
      </c>
      <c r="U14">
        <f t="shared" ca="1" si="4"/>
        <v>2</v>
      </c>
      <c r="X14">
        <f t="shared" si="9"/>
        <v>6</v>
      </c>
      <c r="Y14">
        <f t="shared" ca="1" si="5"/>
        <v>83</v>
      </c>
      <c r="Z14">
        <f t="shared" ca="1" si="10"/>
        <v>0.06</v>
      </c>
    </row>
    <row r="15" spans="1:26" x14ac:dyDescent="0.3">
      <c r="A15">
        <f t="shared" si="6"/>
        <v>7</v>
      </c>
      <c r="B15" t="s">
        <v>193</v>
      </c>
      <c r="C15">
        <f ca="1">'Modello P-C SJF'!$C15</f>
        <v>0.39989299304967474</v>
      </c>
      <c r="D15">
        <f ca="1">'Modello P-C SJF'!$D15</f>
        <v>0.9165582850391244</v>
      </c>
      <c r="E15">
        <f ca="1">'Modello P-C SJF'!$E15</f>
        <v>8.8677516090469979</v>
      </c>
      <c r="G15">
        <f ca="1">'Modello P-C SJF'!$G15</f>
        <v>0.1583599131420903</v>
      </c>
      <c r="H15">
        <f ca="1">'Modello P-C SJF'!$H15</f>
        <v>1.8916750693976851</v>
      </c>
      <c r="I15">
        <f t="shared" ca="1" si="7"/>
        <v>13.536977969413291</v>
      </c>
      <c r="K15" s="2" t="s">
        <v>193</v>
      </c>
      <c r="O15">
        <f t="shared" ca="1" si="0"/>
        <v>4.6692263603662933</v>
      </c>
      <c r="P15">
        <f t="shared" ca="1" si="1"/>
        <v>2.7775509999999999</v>
      </c>
      <c r="Q15">
        <f t="shared" ca="1" si="8"/>
        <v>2.7775512909686091</v>
      </c>
      <c r="S15">
        <f t="shared" ca="1" si="2"/>
        <v>7</v>
      </c>
      <c r="T15">
        <f t="shared" ca="1" si="3"/>
        <v>4</v>
      </c>
      <c r="U15">
        <f t="shared" ca="1" si="4"/>
        <v>3</v>
      </c>
      <c r="X15">
        <f t="shared" si="9"/>
        <v>7</v>
      </c>
      <c r="Y15">
        <f t="shared" ca="1" si="5"/>
        <v>92</v>
      </c>
      <c r="Z15">
        <f t="shared" ca="1" si="10"/>
        <v>4.4999999999999998E-2</v>
      </c>
    </row>
    <row r="16" spans="1:26" x14ac:dyDescent="0.3">
      <c r="A16">
        <f t="shared" si="6"/>
        <v>8</v>
      </c>
      <c r="B16" t="s">
        <v>192</v>
      </c>
      <c r="C16">
        <f ca="1">'Modello P-C SJF'!$C16</f>
        <v>0.3085233637830217</v>
      </c>
      <c r="D16">
        <f ca="1">'Modello P-C SJF'!$D16</f>
        <v>1.175957705009933</v>
      </c>
      <c r="E16">
        <f ca="1">'Modello P-C SJF'!$E16</f>
        <v>10.043709314056931</v>
      </c>
      <c r="G16">
        <f ca="1">'Modello P-C SJF'!$G16</f>
        <v>0.71475479427136002</v>
      </c>
      <c r="H16">
        <f ca="1">'Modello P-C SJF'!$H16</f>
        <v>0.38460590435169284</v>
      </c>
      <c r="I16">
        <f t="shared" ca="1" si="7"/>
        <v>13.921583873764984</v>
      </c>
      <c r="K16" s="2" t="s">
        <v>192</v>
      </c>
      <c r="O16">
        <f t="shared" ca="1" si="0"/>
        <v>3.8778745597080526</v>
      </c>
      <c r="P16">
        <f t="shared" ca="1" si="1"/>
        <v>3.4932690000000002</v>
      </c>
      <c r="Q16">
        <f t="shared" ca="1" si="8"/>
        <v>3.4932686553563612</v>
      </c>
      <c r="S16">
        <f t="shared" ca="1" si="2"/>
        <v>8</v>
      </c>
      <c r="T16">
        <f t="shared" ca="1" si="3"/>
        <v>4</v>
      </c>
      <c r="U16">
        <f t="shared" ca="1" si="4"/>
        <v>4</v>
      </c>
      <c r="X16">
        <f t="shared" si="9"/>
        <v>8</v>
      </c>
      <c r="Y16">
        <f t="shared" ca="1" si="5"/>
        <v>108</v>
      </c>
      <c r="Z16">
        <f t="shared" ca="1" si="10"/>
        <v>0.08</v>
      </c>
    </row>
    <row r="17" spans="1:26" x14ac:dyDescent="0.3">
      <c r="A17">
        <f t="shared" si="6"/>
        <v>9</v>
      </c>
      <c r="B17" t="s">
        <v>191</v>
      </c>
      <c r="C17">
        <f ca="1">'Modello P-C SJF'!$C17</f>
        <v>0.21089243360451215</v>
      </c>
      <c r="D17">
        <f ca="1">'Modello P-C SJF'!$D17</f>
        <v>1.5564070688384215</v>
      </c>
      <c r="E17">
        <f ca="1">'Modello P-C SJF'!$E17</f>
        <v>11.600116382895353</v>
      </c>
      <c r="G17">
        <f ca="1">'Modello P-C SJF'!$G17</f>
        <v>9.3011411499861585E-2</v>
      </c>
      <c r="H17">
        <f ca="1">'Modello P-C SJF'!$H17</f>
        <v>2.4238232532262831</v>
      </c>
      <c r="I17">
        <f t="shared" ca="1" si="7"/>
        <v>16.345407126991269</v>
      </c>
      <c r="K17" s="2" t="s">
        <v>191</v>
      </c>
      <c r="O17">
        <f t="shared" ca="1" si="0"/>
        <v>4.7452907440959162</v>
      </c>
      <c r="P17">
        <f t="shared" ca="1" si="1"/>
        <v>2.3214670000000002</v>
      </c>
      <c r="Q17">
        <f t="shared" ca="1" si="8"/>
        <v>2.3214674908696322</v>
      </c>
      <c r="S17">
        <f t="shared" ca="1" si="2"/>
        <v>9</v>
      </c>
      <c r="T17">
        <f t="shared" ca="1" si="3"/>
        <v>5</v>
      </c>
      <c r="U17">
        <f t="shared" ca="1" si="4"/>
        <v>4</v>
      </c>
      <c r="X17">
        <f t="shared" si="9"/>
        <v>9</v>
      </c>
      <c r="Y17">
        <f t="shared" ca="1" si="5"/>
        <v>126</v>
      </c>
      <c r="Z17">
        <f t="shared" ca="1" si="10"/>
        <v>0.09</v>
      </c>
    </row>
    <row r="18" spans="1:26" x14ac:dyDescent="0.3">
      <c r="A18">
        <f t="shared" si="6"/>
        <v>10</v>
      </c>
      <c r="B18" t="s">
        <v>190</v>
      </c>
      <c r="C18">
        <f ca="1">'Modello P-C SJF'!$C18</f>
        <v>0.58657086724818297</v>
      </c>
      <c r="D18">
        <f ca="1">'Modello P-C SJF'!$D18</f>
        <v>0.53346178741536621</v>
      </c>
      <c r="E18">
        <f ca="1">'Modello P-C SJF'!$E18</f>
        <v>12.133578170310718</v>
      </c>
      <c r="G18">
        <f ca="1">'Modello P-C SJF'!$G18</f>
        <v>0.8661102284811496</v>
      </c>
      <c r="H18">
        <f ca="1">'Modello P-C SJF'!$H18</f>
        <v>0.19253325806886881</v>
      </c>
      <c r="I18">
        <f t="shared" ca="1" si="7"/>
        <v>16.537940385060139</v>
      </c>
      <c r="K18" s="2" t="s">
        <v>190</v>
      </c>
      <c r="O18">
        <f t="shared" ca="1" si="0"/>
        <v>4.4043622147494208</v>
      </c>
      <c r="P18">
        <f t="shared" ca="1" si="1"/>
        <v>4.2118289999999998</v>
      </c>
      <c r="Q18">
        <f t="shared" ca="1" si="8"/>
        <v>4.2118289566805487</v>
      </c>
      <c r="S18">
        <f t="shared" ca="1" si="2"/>
        <v>10</v>
      </c>
      <c r="T18">
        <f t="shared" ca="1" si="3"/>
        <v>6</v>
      </c>
      <c r="U18">
        <f t="shared" ca="1" si="4"/>
        <v>4</v>
      </c>
      <c r="X18">
        <f t="shared" si="9"/>
        <v>10</v>
      </c>
      <c r="Y18">
        <f t="shared" ca="1" si="5"/>
        <v>140</v>
      </c>
      <c r="Z18">
        <f t="shared" ca="1" si="10"/>
        <v>7.0000000000000007E-2</v>
      </c>
    </row>
    <row r="19" spans="1:26" x14ac:dyDescent="0.3">
      <c r="A19">
        <f t="shared" si="6"/>
        <v>11</v>
      </c>
      <c r="B19" t="s">
        <v>189</v>
      </c>
      <c r="C19">
        <f ca="1">'Modello P-C SJF'!$C19</f>
        <v>0.54101254028047174</v>
      </c>
      <c r="D19">
        <f ca="1">'Modello P-C SJF'!$D19</f>
        <v>0.61431282058827419</v>
      </c>
      <c r="E19">
        <f ca="1">'Modello P-C SJF'!$E19</f>
        <v>12.747890990898993</v>
      </c>
      <c r="G19">
        <f ca="1">'Modello P-C SJF'!$G19</f>
        <v>0.68867173183783648</v>
      </c>
      <c r="H19">
        <f ca="1">'Modello P-C SJF'!$H19</f>
        <v>0.42178072712672238</v>
      </c>
      <c r="I19">
        <f t="shared" ca="1" si="7"/>
        <v>16.959721112186863</v>
      </c>
      <c r="K19" s="2" t="s">
        <v>189</v>
      </c>
      <c r="O19">
        <f t="shared" ca="1" si="0"/>
        <v>4.2118301212878695</v>
      </c>
      <c r="P19">
        <f t="shared" ca="1" si="1"/>
        <v>3.7900489999999998</v>
      </c>
      <c r="Q19">
        <f t="shared" ca="1" si="8"/>
        <v>3.7900493941611431</v>
      </c>
      <c r="S19">
        <f t="shared" ca="1" si="2"/>
        <v>11</v>
      </c>
      <c r="T19">
        <f t="shared" ca="1" si="3"/>
        <v>6</v>
      </c>
      <c r="U19">
        <f t="shared" ca="1" si="4"/>
        <v>5</v>
      </c>
      <c r="X19">
        <f t="shared" si="9"/>
        <v>11</v>
      </c>
      <c r="Y19">
        <f t="shared" ca="1" si="5"/>
        <v>151</v>
      </c>
      <c r="Z19">
        <f t="shared" ca="1" si="10"/>
        <v>5.5E-2</v>
      </c>
    </row>
    <row r="20" spans="1:26" x14ac:dyDescent="0.3">
      <c r="A20">
        <f t="shared" si="6"/>
        <v>12</v>
      </c>
      <c r="B20" t="s">
        <v>188</v>
      </c>
      <c r="C20">
        <f ca="1">'Modello P-C SJF'!$C20</f>
        <v>0.15598091274092973</v>
      </c>
      <c r="D20">
        <f ca="1">'Modello P-C SJF'!$D20</f>
        <v>1.8580216334432982</v>
      </c>
      <c r="E20">
        <f ca="1">'Modello P-C SJF'!$E20</f>
        <v>14.605912624342292</v>
      </c>
      <c r="G20">
        <f ca="1">'Modello P-C SJF'!$G20</f>
        <v>6.076296007364157E-2</v>
      </c>
      <c r="H20">
        <f ca="1">'Modello P-C SJF'!$H20</f>
        <v>2.8495650491379494</v>
      </c>
      <c r="I20">
        <f t="shared" ca="1" si="7"/>
        <v>19.809286161324813</v>
      </c>
      <c r="K20" s="2" t="s">
        <v>188</v>
      </c>
      <c r="O20">
        <f t="shared" ca="1" si="0"/>
        <v>5.2033735369825216</v>
      </c>
      <c r="P20">
        <f t="shared" ca="1" si="1"/>
        <v>2.3538079999999999</v>
      </c>
      <c r="Q20">
        <f t="shared" ca="1" si="8"/>
        <v>2.3538084878445669</v>
      </c>
      <c r="S20">
        <f t="shared" ca="1" si="2"/>
        <v>12</v>
      </c>
      <c r="T20">
        <f t="shared" ca="1" si="3"/>
        <v>8</v>
      </c>
      <c r="U20">
        <f t="shared" ca="1" si="4"/>
        <v>4</v>
      </c>
      <c r="X20">
        <f t="shared" si="9"/>
        <v>12</v>
      </c>
      <c r="Y20">
        <f t="shared" ca="1" si="5"/>
        <v>166</v>
      </c>
      <c r="Z20">
        <f t="shared" ca="1" si="10"/>
        <v>7.4999999999999997E-2</v>
      </c>
    </row>
    <row r="21" spans="1:26" x14ac:dyDescent="0.3">
      <c r="A21">
        <f t="shared" si="6"/>
        <v>13</v>
      </c>
      <c r="B21" t="s">
        <v>187</v>
      </c>
      <c r="C21">
        <f ca="1">'Modello P-C SJF'!$C21</f>
        <v>0.90759377209074221</v>
      </c>
      <c r="D21">
        <f ca="1">'Modello P-C SJF'!$D21</f>
        <v>9.6958388053781486E-2</v>
      </c>
      <c r="E21">
        <f ca="1">'Modello P-C SJF'!$E21</f>
        <v>14.702871012396074</v>
      </c>
      <c r="G21">
        <f ca="1">'Modello P-C SJF'!$G21</f>
        <v>0.57033655306851994</v>
      </c>
      <c r="H21">
        <f ca="1">'Modello P-C SJF'!$H21</f>
        <v>0.6103188125865765</v>
      </c>
      <c r="I21">
        <f t="shared" ca="1" si="7"/>
        <v>20.41960497391139</v>
      </c>
      <c r="K21" s="2" t="s">
        <v>187</v>
      </c>
      <c r="O21">
        <f t="shared" ca="1" si="0"/>
        <v>5.7167339615153168</v>
      </c>
      <c r="P21">
        <f t="shared" ca="1" si="1"/>
        <v>5.1064150000000001</v>
      </c>
      <c r="Q21">
        <f t="shared" ca="1" si="8"/>
        <v>5.1064151489287344</v>
      </c>
      <c r="S21">
        <f t="shared" ca="1" si="2"/>
        <v>13</v>
      </c>
      <c r="T21">
        <f t="shared" ca="1" si="3"/>
        <v>8</v>
      </c>
      <c r="U21">
        <f t="shared" ca="1" si="4"/>
        <v>5</v>
      </c>
      <c r="X21">
        <f t="shared" si="9"/>
        <v>13</v>
      </c>
      <c r="Y21">
        <f t="shared" ca="1" si="5"/>
        <v>182</v>
      </c>
      <c r="Z21">
        <f t="shared" ca="1" si="10"/>
        <v>0.08</v>
      </c>
    </row>
    <row r="22" spans="1:26" x14ac:dyDescent="0.3">
      <c r="A22">
        <f t="shared" si="6"/>
        <v>14</v>
      </c>
      <c r="B22" t="s">
        <v>186</v>
      </c>
      <c r="C22">
        <f ca="1">'Modello P-C SJF'!$C22</f>
        <v>0.51813238453563704</v>
      </c>
      <c r="D22">
        <f ca="1">'Modello P-C SJF'!$D22</f>
        <v>0.65752450077313007</v>
      </c>
      <c r="E22">
        <f ca="1">'Modello P-C SJF'!$E22</f>
        <v>15.360395513169204</v>
      </c>
      <c r="G22">
        <f ca="1">'Modello P-C SJF'!$G22</f>
        <v>0.27658476611510152</v>
      </c>
      <c r="H22">
        <f ca="1">'Modello P-C SJF'!$H22</f>
        <v>1.3340281009434016</v>
      </c>
      <c r="I22">
        <f t="shared" ca="1" si="7"/>
        <v>21.753633074854793</v>
      </c>
      <c r="K22" s="2" t="s">
        <v>186</v>
      </c>
      <c r="O22">
        <f t="shared" ca="1" si="0"/>
        <v>6.3932375616855897</v>
      </c>
      <c r="P22">
        <f t="shared" ca="1" si="1"/>
        <v>5.0592090000000001</v>
      </c>
      <c r="Q22">
        <f t="shared" ca="1" si="8"/>
        <v>5.0592094607421805</v>
      </c>
      <c r="S22">
        <f t="shared" ca="1" si="2"/>
        <v>14</v>
      </c>
      <c r="T22">
        <f t="shared" ca="1" si="3"/>
        <v>8</v>
      </c>
      <c r="U22">
        <f t="shared" ca="1" si="4"/>
        <v>6</v>
      </c>
      <c r="X22">
        <f t="shared" si="9"/>
        <v>14</v>
      </c>
      <c r="Y22">
        <f t="shared" ca="1" si="5"/>
        <v>187</v>
      </c>
      <c r="Z22">
        <f t="shared" ca="1" si="10"/>
        <v>2.5000000000000001E-2</v>
      </c>
    </row>
    <row r="23" spans="1:26" x14ac:dyDescent="0.3">
      <c r="A23">
        <f t="shared" si="6"/>
        <v>15</v>
      </c>
      <c r="B23" t="s">
        <v>185</v>
      </c>
      <c r="C23">
        <f ca="1">'Modello P-C SJF'!$C23</f>
        <v>0.21180788141729878</v>
      </c>
      <c r="D23">
        <f ca="1">'Modello P-C SJF'!$D23</f>
        <v>1.5520756349051883</v>
      </c>
      <c r="E23">
        <f ca="1">'Modello P-C SJF'!$E23</f>
        <v>16.912471148074392</v>
      </c>
      <c r="G23">
        <f ca="1">'Modello P-C SJF'!$G23</f>
        <v>0.26937020271032042</v>
      </c>
      <c r="H23">
        <f ca="1">'Modello P-C SJF'!$H23</f>
        <v>1.3604587914161461</v>
      </c>
      <c r="I23">
        <f t="shared" ca="1" si="7"/>
        <v>23.11409186627094</v>
      </c>
      <c r="K23" s="2" t="s">
        <v>185</v>
      </c>
      <c r="O23">
        <f t="shared" ca="1" si="0"/>
        <v>6.2016207181965477</v>
      </c>
      <c r="P23">
        <f t="shared" ca="1" si="1"/>
        <v>4.8411619999999997</v>
      </c>
      <c r="Q23">
        <f t="shared" ca="1" si="8"/>
        <v>4.8411619267803943</v>
      </c>
      <c r="S23">
        <f t="shared" ca="1" si="2"/>
        <v>15</v>
      </c>
      <c r="T23">
        <f t="shared" ca="1" si="3"/>
        <v>10</v>
      </c>
      <c r="U23">
        <f t="shared" ca="1" si="4"/>
        <v>5</v>
      </c>
      <c r="X23">
        <f t="shared" si="9"/>
        <v>15</v>
      </c>
      <c r="Y23">
        <f t="shared" ca="1" si="5"/>
        <v>197</v>
      </c>
      <c r="Z23">
        <f t="shared" ca="1" si="10"/>
        <v>0.05</v>
      </c>
    </row>
    <row r="24" spans="1:26" x14ac:dyDescent="0.3">
      <c r="A24">
        <f t="shared" si="6"/>
        <v>16</v>
      </c>
      <c r="B24" t="s">
        <v>184</v>
      </c>
      <c r="C24">
        <f ca="1">'Modello P-C SJF'!$C24</f>
        <v>0.98668685866867178</v>
      </c>
      <c r="D24">
        <f ca="1">'Modello P-C SJF'!$D24</f>
        <v>1.3402555674646139E-2</v>
      </c>
      <c r="E24">
        <f ca="1">'Modello P-C SJF'!$E24</f>
        <v>16.925873703749037</v>
      </c>
      <c r="G24">
        <f ca="1">'Modello P-C SJF'!$G24</f>
        <v>0.5585354490357326</v>
      </c>
      <c r="H24">
        <f ca="1">'Modello P-C SJF'!$H24</f>
        <v>0.63122735479312486</v>
      </c>
      <c r="I24">
        <f t="shared" ca="1" si="7"/>
        <v>23.745319221064065</v>
      </c>
      <c r="K24" s="2" t="s">
        <v>184</v>
      </c>
      <c r="O24">
        <f t="shared" ca="1" si="0"/>
        <v>6.8194455173150281</v>
      </c>
      <c r="P24">
        <f t="shared" ca="1" si="1"/>
        <v>6.188218</v>
      </c>
      <c r="Q24">
        <f t="shared" ca="1" si="8"/>
        <v>6.1882181625218946</v>
      </c>
      <c r="S24">
        <f t="shared" ca="1" si="2"/>
        <v>16</v>
      </c>
      <c r="T24">
        <f t="shared" ca="1" si="3"/>
        <v>10</v>
      </c>
      <c r="U24">
        <f t="shared" ca="1" si="4"/>
        <v>6</v>
      </c>
      <c r="X24">
        <f t="shared" si="9"/>
        <v>16</v>
      </c>
      <c r="Y24">
        <f t="shared" ca="1" si="5"/>
        <v>199</v>
      </c>
      <c r="Z24">
        <f t="shared" ca="1" si="10"/>
        <v>0.01</v>
      </c>
    </row>
    <row r="25" spans="1:26" x14ac:dyDescent="0.3">
      <c r="A25">
        <f t="shared" si="6"/>
        <v>17</v>
      </c>
      <c r="B25" t="s">
        <v>183</v>
      </c>
      <c r="C25">
        <f ca="1">'Modello P-C SJF'!$C25</f>
        <v>2.8626222405641055E-2</v>
      </c>
      <c r="D25">
        <f ca="1">'Modello P-C SJF'!$D25</f>
        <v>3.5534321138923302</v>
      </c>
      <c r="E25">
        <f ca="1">'Modello P-C SJF'!$E25</f>
        <v>20.479305817641368</v>
      </c>
      <c r="G25">
        <f ca="1">'Modello P-C SJF'!$G25</f>
        <v>0.48058651205803282</v>
      </c>
      <c r="H25">
        <f ca="1">'Modello P-C SJF'!$H25</f>
        <v>0.78153818504112516</v>
      </c>
      <c r="I25">
        <f t="shared" ca="1" si="7"/>
        <v>24.52685740610519</v>
      </c>
      <c r="K25" s="2" t="s">
        <v>183</v>
      </c>
      <c r="O25">
        <f t="shared" ca="1" si="0"/>
        <v>4.047551588463822</v>
      </c>
      <c r="P25">
        <f t="shared" ca="1" si="1"/>
        <v>3.2660130000000001</v>
      </c>
      <c r="Q25">
        <f t="shared" ca="1" si="8"/>
        <v>3.2660134034226891</v>
      </c>
      <c r="S25">
        <f t="shared" ca="1" si="2"/>
        <v>17</v>
      </c>
      <c r="T25">
        <f t="shared" ca="1" si="3"/>
        <v>13</v>
      </c>
      <c r="U25">
        <f t="shared" ca="1" si="4"/>
        <v>4</v>
      </c>
      <c r="X25">
        <f t="shared" si="9"/>
        <v>17</v>
      </c>
      <c r="Y25">
        <f t="shared" ca="1" si="5"/>
        <v>200</v>
      </c>
      <c r="Z25">
        <f t="shared" ca="1" si="10"/>
        <v>5.0000000000000001E-3</v>
      </c>
    </row>
    <row r="26" spans="1:26" x14ac:dyDescent="0.3">
      <c r="A26">
        <f t="shared" si="6"/>
        <v>18</v>
      </c>
      <c r="B26" t="s">
        <v>182</v>
      </c>
      <c r="C26">
        <f ca="1">'Modello P-C SJF'!$C26</f>
        <v>0.87804246612435077</v>
      </c>
      <c r="D26">
        <f ca="1">'Modello P-C SJF'!$D26</f>
        <v>0.13006031963243403</v>
      </c>
      <c r="E26">
        <f ca="1">'Modello P-C SJF'!$E26</f>
        <v>20.609366137273803</v>
      </c>
      <c r="G26">
        <f ca="1">'Modello P-C SJF'!$G26</f>
        <v>0.60940785612105031</v>
      </c>
      <c r="H26">
        <f ca="1">'Modello P-C SJF'!$H26</f>
        <v>0.54405768511585817</v>
      </c>
      <c r="I26">
        <f t="shared" ca="1" si="7"/>
        <v>25.07091509122105</v>
      </c>
      <c r="K26" s="2" t="s">
        <v>182</v>
      </c>
      <c r="O26">
        <f t="shared" ca="1" si="0"/>
        <v>4.461548953947247</v>
      </c>
      <c r="P26">
        <f t="shared" ca="1" si="1"/>
        <v>3.9174910000000001</v>
      </c>
      <c r="Q26">
        <f t="shared" ca="1" si="8"/>
        <v>3.9174912688313799</v>
      </c>
      <c r="S26">
        <f t="shared" ca="1" si="2"/>
        <v>18</v>
      </c>
      <c r="T26">
        <f t="shared" ca="1" si="3"/>
        <v>13</v>
      </c>
      <c r="U26">
        <f t="shared" ca="1" si="4"/>
        <v>5</v>
      </c>
      <c r="X26">
        <f t="shared" ref="X26:X28" si="11">$X25 + 1</f>
        <v>18</v>
      </c>
      <c r="Y26">
        <f t="shared" ca="1" si="5"/>
        <v>200</v>
      </c>
      <c r="Z26">
        <f t="shared" ca="1" si="10"/>
        <v>0</v>
      </c>
    </row>
    <row r="27" spans="1:26" x14ac:dyDescent="0.3">
      <c r="A27">
        <f t="shared" si="6"/>
        <v>19</v>
      </c>
      <c r="B27" t="s">
        <v>181</v>
      </c>
      <c r="C27">
        <f ca="1">'Modello P-C SJF'!$C27</f>
        <v>0.62027489397412472</v>
      </c>
      <c r="D27">
        <f ca="1">'Modello P-C SJF'!$D27</f>
        <v>0.47759252182808487</v>
      </c>
      <c r="E27">
        <f ca="1">'Modello P-C SJF'!$E27</f>
        <v>21.086958659101889</v>
      </c>
      <c r="G27">
        <f ca="1">'Modello P-C SJF'!$G27</f>
        <v>0.21508367886261359</v>
      </c>
      <c r="H27">
        <f ca="1">'Modello P-C SJF'!$H27</f>
        <v>1.5855182867319852</v>
      </c>
      <c r="I27">
        <f t="shared" ca="1" si="7"/>
        <v>26.656433377953036</v>
      </c>
      <c r="K27" s="2" t="s">
        <v>181</v>
      </c>
      <c r="O27">
        <f t="shared" ca="1" si="0"/>
        <v>5.5694747188511471</v>
      </c>
      <c r="P27">
        <f t="shared" ca="1" si="1"/>
        <v>3.9839560000000001</v>
      </c>
      <c r="Q27">
        <f t="shared" ca="1" si="8"/>
        <v>3.9839564321191534</v>
      </c>
      <c r="S27">
        <f t="shared" ca="1" si="2"/>
        <v>19</v>
      </c>
      <c r="T27">
        <f t="shared" ca="1" si="3"/>
        <v>13</v>
      </c>
      <c r="U27">
        <f t="shared" ca="1" si="4"/>
        <v>6</v>
      </c>
      <c r="X27">
        <f t="shared" si="11"/>
        <v>19</v>
      </c>
      <c r="Y27">
        <f t="shared" ca="1" si="5"/>
        <v>200</v>
      </c>
      <c r="Z27">
        <f t="shared" ca="1" si="10"/>
        <v>0</v>
      </c>
    </row>
    <row r="28" spans="1:26" x14ac:dyDescent="0.3">
      <c r="A28">
        <f t="shared" si="6"/>
        <v>20</v>
      </c>
      <c r="B28" t="s">
        <v>180</v>
      </c>
      <c r="C28">
        <f ca="1">'Modello P-C SJF'!$C28</f>
        <v>0.48204241246578527</v>
      </c>
      <c r="D28">
        <f ca="1">'Modello P-C SJF'!$D28</f>
        <v>0.7297231761350601</v>
      </c>
      <c r="E28">
        <f ca="1">'Modello P-C SJF'!$E28</f>
        <v>21.816681835236949</v>
      </c>
      <c r="G28">
        <f ca="1">'Modello P-C SJF'!$G28</f>
        <v>0.36488167654923731</v>
      </c>
      <c r="H28">
        <f ca="1">'Modello P-C SJF'!$H28</f>
        <v>1.0569723159624804</v>
      </c>
      <c r="I28">
        <f t="shared" ca="1" si="7"/>
        <v>27.713405693915515</v>
      </c>
      <c r="K28" s="2" t="s">
        <v>180</v>
      </c>
      <c r="O28">
        <f t="shared" ca="1" si="0"/>
        <v>5.8967238586785662</v>
      </c>
      <c r="P28">
        <f t="shared" ca="1" si="1"/>
        <v>4.8397519999999998</v>
      </c>
      <c r="Q28">
        <f t="shared" ca="1" si="8"/>
        <v>4.839751542716078</v>
      </c>
      <c r="S28">
        <f t="shared" ca="1" si="2"/>
        <v>20</v>
      </c>
      <c r="T28">
        <f t="shared" ca="1" si="3"/>
        <v>14</v>
      </c>
      <c r="U28">
        <f t="shared" ca="1" si="4"/>
        <v>6</v>
      </c>
      <c r="X28">
        <f t="shared" si="11"/>
        <v>20</v>
      </c>
      <c r="Y28">
        <f t="shared" ca="1" si="5"/>
        <v>200</v>
      </c>
      <c r="Z28">
        <f t="shared" ca="1" si="10"/>
        <v>0</v>
      </c>
    </row>
    <row r="29" spans="1:26" x14ac:dyDescent="0.3">
      <c r="A29">
        <f t="shared" si="6"/>
        <v>21</v>
      </c>
      <c r="B29" t="s">
        <v>179</v>
      </c>
      <c r="C29">
        <f ca="1">'Modello P-C SJF'!$C29</f>
        <v>2.6458612248155378E-2</v>
      </c>
      <c r="D29">
        <f ca="1">'Modello P-C SJF'!$D29</f>
        <v>3.6321735688303884</v>
      </c>
      <c r="E29">
        <f ca="1">'Modello P-C SJF'!$E29</f>
        <v>25.448855404067338</v>
      </c>
      <c r="G29">
        <f ca="1">'Modello P-C SJF'!$G29</f>
        <v>0.71347630059698608</v>
      </c>
      <c r="H29">
        <f ca="1">'Modello P-C SJF'!$H29</f>
        <v>0.38639622248782279</v>
      </c>
      <c r="I29">
        <f t="shared" ca="1" si="7"/>
        <v>28.099801916403337</v>
      </c>
      <c r="K29" s="2" t="s">
        <v>179</v>
      </c>
      <c r="O29">
        <f t="shared" ca="1" si="0"/>
        <v>2.6509465123359988</v>
      </c>
      <c r="P29">
        <f t="shared" ca="1" si="1"/>
        <v>2.2645499999999998</v>
      </c>
      <c r="Q29">
        <f t="shared" ca="1" si="8"/>
        <v>2.2645502898481698</v>
      </c>
      <c r="S29">
        <f t="shared" ca="1" si="2"/>
        <v>21</v>
      </c>
      <c r="T29">
        <f t="shared" ca="1" si="3"/>
        <v>18</v>
      </c>
      <c r="U29">
        <f t="shared" ca="1" si="4"/>
        <v>3</v>
      </c>
    </row>
    <row r="30" spans="1:26" x14ac:dyDescent="0.3">
      <c r="A30">
        <f t="shared" si="6"/>
        <v>22</v>
      </c>
      <c r="B30" t="s">
        <v>178</v>
      </c>
      <c r="C30">
        <f ca="1">'Modello P-C SJF'!$C30</f>
        <v>0.55321252760433526</v>
      </c>
      <c r="D30">
        <f ca="1">'Modello P-C SJF'!$D30</f>
        <v>0.59201303374234882</v>
      </c>
      <c r="E30">
        <f ca="1">'Modello P-C SJF'!$E30</f>
        <v>26.040868437809685</v>
      </c>
      <c r="G30">
        <f ca="1">'Modello P-C SJF'!$G30</f>
        <v>0.81451274737623003</v>
      </c>
      <c r="H30">
        <f ca="1">'Modello P-C SJF'!$H30</f>
        <v>0.25395536467794155</v>
      </c>
      <c r="I30">
        <f t="shared" ca="1" si="7"/>
        <v>28.353757281081279</v>
      </c>
      <c r="K30" s="2" t="s">
        <v>178</v>
      </c>
      <c r="O30">
        <f t="shared" ca="1" si="0"/>
        <v>2.3128888432715939</v>
      </c>
      <c r="P30">
        <f t="shared" ca="1" si="1"/>
        <v>2.0589330000000001</v>
      </c>
      <c r="Q30">
        <f t="shared" ca="1" si="8"/>
        <v>2.0589334785936435</v>
      </c>
      <c r="S30">
        <f t="shared" ca="1" si="2"/>
        <v>22</v>
      </c>
      <c r="T30">
        <f t="shared" ca="1" si="3"/>
        <v>18</v>
      </c>
      <c r="U30">
        <f t="shared" ca="1" si="4"/>
        <v>4</v>
      </c>
      <c r="Y30" s="2" t="s">
        <v>227</v>
      </c>
      <c r="Z30" s="2">
        <f ca="1">SUM($Z$9:$Z$28)</f>
        <v>1</v>
      </c>
    </row>
    <row r="31" spans="1:26" x14ac:dyDescent="0.3">
      <c r="A31">
        <f t="shared" si="6"/>
        <v>23</v>
      </c>
      <c r="B31" t="s">
        <v>177</v>
      </c>
      <c r="C31">
        <f ca="1">'Modello P-C SJF'!$C31</f>
        <v>0.20568872887820455</v>
      </c>
      <c r="D31">
        <f ca="1">'Modello P-C SJF'!$D31</f>
        <v>1.5813912778050025</v>
      </c>
      <c r="E31">
        <f ca="1">'Modello P-C SJF'!$E31</f>
        <v>27.622259715614689</v>
      </c>
      <c r="G31">
        <f ca="1">'Modello P-C SJF'!$G31</f>
        <v>0.80835906355116416</v>
      </c>
      <c r="H31">
        <f ca="1">'Modello P-C SJF'!$H31</f>
        <v>0.2615390977573806</v>
      </c>
      <c r="I31">
        <f t="shared" ca="1" si="7"/>
        <v>28.615296378838661</v>
      </c>
      <c r="K31" s="2" t="s">
        <v>177</v>
      </c>
      <c r="O31">
        <f t="shared" ca="1" si="0"/>
        <v>0.99303666322397177</v>
      </c>
      <c r="P31">
        <f t="shared" ca="1" si="1"/>
        <v>0.73149799999999998</v>
      </c>
      <c r="Q31">
        <f t="shared" ca="1" si="8"/>
        <v>0.73149756546658251</v>
      </c>
      <c r="S31">
        <f t="shared" ca="1" si="2"/>
        <v>23</v>
      </c>
      <c r="T31">
        <f t="shared" ca="1" si="3"/>
        <v>19</v>
      </c>
      <c r="U31">
        <f t="shared" ca="1" si="4"/>
        <v>4</v>
      </c>
    </row>
    <row r="32" spans="1:26" x14ac:dyDescent="0.3">
      <c r="A32">
        <f t="shared" si="6"/>
        <v>24</v>
      </c>
      <c r="B32" t="s">
        <v>176</v>
      </c>
      <c r="C32">
        <f ca="1">'Modello P-C SJF'!$C32</f>
        <v>0.81959894455047688</v>
      </c>
      <c r="D32">
        <f ca="1">'Modello P-C SJF'!$D32</f>
        <v>0.19894015037996277</v>
      </c>
      <c r="E32">
        <f ca="1">'Modello P-C SJF'!$E32</f>
        <v>27.82119986599465</v>
      </c>
      <c r="G32">
        <f ca="1">'Modello P-C SJF'!$G32</f>
        <v>0.37545388543138081</v>
      </c>
      <c r="H32">
        <f ca="1">'Modello P-C SJF'!$H32</f>
        <v>1.0284097879273535</v>
      </c>
      <c r="I32">
        <f t="shared" ca="1" si="7"/>
        <v>29.643706166766016</v>
      </c>
      <c r="K32" s="2" t="s">
        <v>176</v>
      </c>
      <c r="O32">
        <f t="shared" ca="1" si="0"/>
        <v>1.8225063007713658</v>
      </c>
      <c r="P32">
        <f t="shared" ca="1" si="1"/>
        <v>0.79409700000000005</v>
      </c>
      <c r="Q32">
        <f t="shared" ca="1" si="8"/>
        <v>0.79409651284400029</v>
      </c>
      <c r="S32">
        <f t="shared" ca="1" si="2"/>
        <v>24</v>
      </c>
      <c r="T32">
        <f t="shared" ca="1" si="3"/>
        <v>20</v>
      </c>
      <c r="U32">
        <f t="shared" ca="1" si="4"/>
        <v>4</v>
      </c>
    </row>
    <row r="33" spans="1:21" x14ac:dyDescent="0.3">
      <c r="A33">
        <f t="shared" si="6"/>
        <v>25</v>
      </c>
      <c r="B33" t="s">
        <v>175</v>
      </c>
      <c r="C33">
        <f ca="1">'Modello P-C SJF'!$C33</f>
        <v>0.26244816731135845</v>
      </c>
      <c r="D33">
        <f ca="1">'Modello P-C SJF'!$D33</f>
        <v>1.3377016743093204</v>
      </c>
      <c r="E33">
        <f ca="1">'Modello P-C SJF'!$E33</f>
        <v>29.158901540303972</v>
      </c>
      <c r="G33">
        <f ca="1">'Modello P-C SJF'!$G33</f>
        <v>0.53946617441000655</v>
      </c>
      <c r="H33">
        <f ca="1">'Modello P-C SJF'!$H33</f>
        <v>0.66596535845418936</v>
      </c>
      <c r="I33">
        <f t="shared" ca="1" si="7"/>
        <v>30.309671525220207</v>
      </c>
      <c r="K33" s="2" t="s">
        <v>175</v>
      </c>
      <c r="O33">
        <f t="shared" ca="1" si="0"/>
        <v>1.1507699849162343</v>
      </c>
      <c r="P33">
        <f t="shared" ca="1" si="1"/>
        <v>0.48480499999999999</v>
      </c>
      <c r="Q33">
        <f t="shared" ca="1" si="8"/>
        <v>0.48480462646203337</v>
      </c>
      <c r="S33">
        <f t="shared" ca="1" si="2"/>
        <v>25</v>
      </c>
      <c r="T33">
        <f t="shared" ca="1" si="3"/>
        <v>23</v>
      </c>
      <c r="U33">
        <f t="shared" ca="1" si="4"/>
        <v>2</v>
      </c>
    </row>
    <row r="34" spans="1:21" x14ac:dyDescent="0.3">
      <c r="A34">
        <f t="shared" si="6"/>
        <v>26</v>
      </c>
      <c r="B34" t="s">
        <v>174</v>
      </c>
      <c r="C34">
        <f ca="1">'Modello P-C SJF'!$C34</f>
        <v>0.51545571612177488</v>
      </c>
      <c r="D34">
        <f ca="1">'Modello P-C SJF'!$D34</f>
        <v>0.66270388392557045</v>
      </c>
      <c r="E34">
        <f ca="1">'Modello P-C SJF'!$E34</f>
        <v>29.821605424229542</v>
      </c>
      <c r="G34">
        <f ca="1">'Modello P-C SJF'!$G34</f>
        <v>0.44001142696703122</v>
      </c>
      <c r="H34">
        <f ca="1">'Modello P-C SJF'!$H34</f>
        <v>0.86974474619687037</v>
      </c>
      <c r="I34">
        <f t="shared" ca="1" si="7"/>
        <v>31.179416271417075</v>
      </c>
      <c r="K34" s="2" t="s">
        <v>174</v>
      </c>
      <c r="O34">
        <f t="shared" ca="1" si="0"/>
        <v>1.3578108471875332</v>
      </c>
      <c r="P34">
        <f t="shared" ca="1" si="1"/>
        <v>0.488066</v>
      </c>
      <c r="Q34">
        <f t="shared" ca="1" si="8"/>
        <v>0.48806610099065229</v>
      </c>
      <c r="S34">
        <f t="shared" ca="1" si="2"/>
        <v>26</v>
      </c>
      <c r="T34">
        <f t="shared" ca="1" si="3"/>
        <v>24</v>
      </c>
      <c r="U34">
        <f t="shared" ca="1" si="4"/>
        <v>2</v>
      </c>
    </row>
    <row r="35" spans="1:21" x14ac:dyDescent="0.3">
      <c r="A35">
        <f t="shared" si="6"/>
        <v>27</v>
      </c>
      <c r="B35" t="s">
        <v>173</v>
      </c>
      <c r="C35">
        <f ca="1">'Modello P-C SJF'!$C35</f>
        <v>0.28281090603782166</v>
      </c>
      <c r="D35">
        <f ca="1">'Modello P-C SJF'!$D35</f>
        <v>1.2629767812131345</v>
      </c>
      <c r="E35">
        <f ca="1">'Modello P-C SJF'!$E35</f>
        <v>31.084582205442675</v>
      </c>
      <c r="G35">
        <f ca="1">'Modello P-C SJF'!$G35</f>
        <v>0.46517385319080329</v>
      </c>
      <c r="H35">
        <f ca="1">'Modello P-C SJF'!$H35</f>
        <v>0.81413422960942816</v>
      </c>
      <c r="I35">
        <f t="shared" ca="1" si="7"/>
        <v>31.993550501026505</v>
      </c>
      <c r="K35" s="2" t="s">
        <v>173</v>
      </c>
      <c r="O35">
        <f t="shared" ca="1" si="0"/>
        <v>0.90896829558382919</v>
      </c>
      <c r="P35">
        <f t="shared" ca="1" si="1"/>
        <v>9.4834000000000002E-2</v>
      </c>
      <c r="Q35">
        <f t="shared" ca="1" si="8"/>
        <v>9.4834065974388038E-2</v>
      </c>
      <c r="S35">
        <f t="shared" ca="1" si="2"/>
        <v>27</v>
      </c>
      <c r="T35">
        <f t="shared" ca="1" si="3"/>
        <v>25</v>
      </c>
      <c r="U35">
        <f t="shared" ca="1" si="4"/>
        <v>2</v>
      </c>
    </row>
    <row r="36" spans="1:21" x14ac:dyDescent="0.3">
      <c r="A36">
        <f t="shared" si="6"/>
        <v>28</v>
      </c>
      <c r="B36" t="s">
        <v>172</v>
      </c>
      <c r="C36">
        <f ca="1">'Modello P-C SJF'!$C36</f>
        <v>0.23334692305291571</v>
      </c>
      <c r="D36">
        <f ca="1">'Modello P-C SJF'!$D36</f>
        <v>1.4552289926474684</v>
      </c>
      <c r="E36">
        <f ca="1">'Modello P-C SJF'!$E36</f>
        <v>32.539811198090142</v>
      </c>
      <c r="G36">
        <f ca="1">'Modello P-C SJF'!$G36</f>
        <v>0.93909151655342404</v>
      </c>
      <c r="H36">
        <f ca="1">'Modello P-C SJF'!$H36</f>
        <v>0.11163250697415447</v>
      </c>
      <c r="I36">
        <f t="shared" ca="1" si="7"/>
        <v>32.651443705064295</v>
      </c>
      <c r="K36" s="2" t="s">
        <v>172</v>
      </c>
      <c r="O36">
        <f t="shared" ca="1" si="0"/>
        <v>0.1116325069741535</v>
      </c>
      <c r="P36">
        <f t="shared" ca="1" si="1"/>
        <v>0</v>
      </c>
      <c r="Q36">
        <f t="shared" ca="1" si="8"/>
        <v>0</v>
      </c>
      <c r="S36">
        <f t="shared" ca="1" si="2"/>
        <v>28</v>
      </c>
      <c r="T36">
        <f t="shared" ca="1" si="3"/>
        <v>27</v>
      </c>
      <c r="U36">
        <f t="shared" ca="1" si="4"/>
        <v>1</v>
      </c>
    </row>
    <row r="37" spans="1:21" x14ac:dyDescent="0.3">
      <c r="A37">
        <f t="shared" si="6"/>
        <v>29</v>
      </c>
      <c r="B37" t="s">
        <v>171</v>
      </c>
      <c r="C37">
        <f ca="1">'Modello P-C SJF'!$C37</f>
        <v>0.72321740105354548</v>
      </c>
      <c r="D37">
        <f ca="1">'Modello P-C SJF'!$D37</f>
        <v>0.32404540900233986</v>
      </c>
      <c r="E37">
        <f ca="1">'Modello P-C SJF'!$E37</f>
        <v>32.86385660709248</v>
      </c>
      <c r="G37">
        <f ca="1">'Modello P-C SJF'!$G37</f>
        <v>0.7566729872070419</v>
      </c>
      <c r="H37">
        <f ca="1">'Modello P-C SJF'!$H37</f>
        <v>0.32761426824205792</v>
      </c>
      <c r="I37">
        <f t="shared" ca="1" si="7"/>
        <v>33.191470875334538</v>
      </c>
      <c r="K37" s="2" t="s">
        <v>171</v>
      </c>
      <c r="O37">
        <f t="shared" ca="1" si="0"/>
        <v>0.32761426824205842</v>
      </c>
      <c r="P37">
        <f t="shared" ca="1" si="1"/>
        <v>0</v>
      </c>
      <c r="Q37">
        <f t="shared" ca="1" si="8"/>
        <v>0</v>
      </c>
      <c r="S37">
        <f t="shared" ca="1" si="2"/>
        <v>29</v>
      </c>
      <c r="T37">
        <f t="shared" ca="1" si="3"/>
        <v>28</v>
      </c>
      <c r="U37">
        <f t="shared" ca="1" si="4"/>
        <v>1</v>
      </c>
    </row>
    <row r="38" spans="1:21" x14ac:dyDescent="0.3">
      <c r="A38">
        <f t="shared" si="6"/>
        <v>30</v>
      </c>
      <c r="B38" t="s">
        <v>170</v>
      </c>
      <c r="C38">
        <f ca="1">'Modello P-C SJF'!$C38</f>
        <v>8.630919669360837E-2</v>
      </c>
      <c r="D38">
        <f ca="1">'Modello P-C SJF'!$D38</f>
        <v>2.449819120016588</v>
      </c>
      <c r="E38">
        <f ca="1">'Modello P-C SJF'!$E38</f>
        <v>35.313675727109064</v>
      </c>
      <c r="G38">
        <f ca="1">'Modello P-C SJF'!$G38</f>
        <v>0.74236238356824402</v>
      </c>
      <c r="H38">
        <f ca="1">'Modello P-C SJF'!$H38</f>
        <v>0.34670793164829561</v>
      </c>
      <c r="I38">
        <f t="shared" ca="1" si="7"/>
        <v>35.660383658757361</v>
      </c>
      <c r="K38" s="2" t="s">
        <v>170</v>
      </c>
      <c r="O38">
        <f t="shared" ca="1" si="0"/>
        <v>0.34670793164829661</v>
      </c>
      <c r="P38">
        <f t="shared" ca="1" si="1"/>
        <v>0</v>
      </c>
      <c r="Q38">
        <f t="shared" ca="1" si="8"/>
        <v>0</v>
      </c>
      <c r="S38">
        <f t="shared" ca="1" si="2"/>
        <v>30</v>
      </c>
      <c r="T38">
        <f t="shared" ca="1" si="3"/>
        <v>29</v>
      </c>
      <c r="U38">
        <f t="shared" ca="1" si="4"/>
        <v>1</v>
      </c>
    </row>
    <row r="39" spans="1:21" x14ac:dyDescent="0.3">
      <c r="A39">
        <f t="shared" si="6"/>
        <v>31</v>
      </c>
      <c r="B39" t="s">
        <v>169</v>
      </c>
      <c r="C39">
        <f ca="1">'Modello P-C SJF'!$C39</f>
        <v>0.48267770140758748</v>
      </c>
      <c r="D39">
        <f ca="1">'Modello P-C SJF'!$D39</f>
        <v>0.72840613293362289</v>
      </c>
      <c r="E39">
        <f ca="1">'Modello P-C SJF'!$E39</f>
        <v>36.042081860042686</v>
      </c>
      <c r="G39">
        <f ca="1">'Modello P-C SJF'!$G39</f>
        <v>9.7619817980281409E-2</v>
      </c>
      <c r="H39">
        <f ca="1">'Modello P-C SJF'!$H39</f>
        <v>2.3754649172683542</v>
      </c>
      <c r="I39">
        <f t="shared" ca="1" si="7"/>
        <v>38.417546777311038</v>
      </c>
      <c r="K39" s="2" t="s">
        <v>169</v>
      </c>
      <c r="O39">
        <f t="shared" ca="1" si="0"/>
        <v>2.3754649172683528</v>
      </c>
      <c r="P39">
        <f t="shared" ca="1" si="1"/>
        <v>0</v>
      </c>
      <c r="Q39">
        <f t="shared" ca="1" si="8"/>
        <v>0</v>
      </c>
      <c r="S39">
        <f t="shared" ca="1" si="2"/>
        <v>31</v>
      </c>
      <c r="T39">
        <f t="shared" ca="1" si="3"/>
        <v>30</v>
      </c>
      <c r="U39">
        <f t="shared" ca="1" si="4"/>
        <v>1</v>
      </c>
    </row>
    <row r="40" spans="1:21" x14ac:dyDescent="0.3">
      <c r="A40">
        <f t="shared" si="6"/>
        <v>32</v>
      </c>
      <c r="B40" t="s">
        <v>168</v>
      </c>
      <c r="C40">
        <f ca="1">'Modello P-C SJF'!$C40</f>
        <v>0.97759764949921168</v>
      </c>
      <c r="D40">
        <f ca="1">'Modello P-C SJF'!$D40</f>
        <v>2.2657094926113501E-2</v>
      </c>
      <c r="E40">
        <f ca="1">'Modello P-C SJF'!$E40</f>
        <v>36.064738954968796</v>
      </c>
      <c r="G40">
        <f ca="1">'Modello P-C SJF'!$G40</f>
        <v>0.11765553608463164</v>
      </c>
      <c r="H40">
        <f ca="1">'Modello P-C SJF'!$H40</f>
        <v>2.1887842735422947</v>
      </c>
      <c r="I40">
        <f t="shared" ca="1" si="7"/>
        <v>40.606331050853335</v>
      </c>
      <c r="K40" s="2" t="s">
        <v>168</v>
      </c>
      <c r="O40">
        <f t="shared" ca="1" si="0"/>
        <v>4.541592095884539</v>
      </c>
      <c r="P40">
        <f t="shared" ca="1" si="1"/>
        <v>2.352808</v>
      </c>
      <c r="Q40">
        <f t="shared" ca="1" si="8"/>
        <v>2.3528078223422408</v>
      </c>
      <c r="S40">
        <f t="shared" ca="1" si="2"/>
        <v>32</v>
      </c>
      <c r="T40">
        <f t="shared" ca="1" si="3"/>
        <v>30</v>
      </c>
      <c r="U40">
        <f t="shared" ca="1" si="4"/>
        <v>2</v>
      </c>
    </row>
    <row r="41" spans="1:21" x14ac:dyDescent="0.3">
      <c r="A41">
        <f t="shared" si="6"/>
        <v>33</v>
      </c>
      <c r="B41" t="s">
        <v>167</v>
      </c>
      <c r="C41">
        <f ca="1">'Modello P-C SJF'!$C41</f>
        <v>0.76547141076995373</v>
      </c>
      <c r="D41">
        <f ca="1">'Modello P-C SJF'!$D41</f>
        <v>0.26726341171447365</v>
      </c>
      <c r="E41">
        <f ca="1">'Modello P-C SJF'!$E41</f>
        <v>36.33200236668327</v>
      </c>
      <c r="G41">
        <f ca="1">'Modello P-C SJF'!$G41</f>
        <v>0.21012415273866458</v>
      </c>
      <c r="H41">
        <f ca="1">'Modello P-C SJF'!$H41</f>
        <v>1.6088468836086005</v>
      </c>
      <c r="I41">
        <f t="shared" ca="1" si="7"/>
        <v>42.215177934461934</v>
      </c>
      <c r="K41" s="2" t="s">
        <v>167</v>
      </c>
      <c r="O41">
        <f t="shared" ref="O41:O72" ca="1" si="12">$I41-$E41</f>
        <v>5.8831755677786646</v>
      </c>
      <c r="P41">
        <f t="shared" ref="P41:P72" ca="1" si="13">MAX(0, ROUND($O41-$H41, 6))</f>
        <v>4.2743289999999998</v>
      </c>
      <c r="Q41">
        <f t="shared" ca="1" si="8"/>
        <v>4.2743286841700616</v>
      </c>
      <c r="S41">
        <f t="shared" ref="S41:S72" ca="1" si="14">COUNTIF($E$9:$E$208, "&lt;=" &amp;$E41)</f>
        <v>33</v>
      </c>
      <c r="T41">
        <f t="shared" ref="T41:T72" ca="1" si="15">COUNTIF($I$9:$I$208, "&lt;=" &amp;$E41)</f>
        <v>30</v>
      </c>
      <c r="U41">
        <f t="shared" ref="U41:U72" ca="1" si="16">$S41-$T41</f>
        <v>3</v>
      </c>
    </row>
    <row r="42" spans="1:21" x14ac:dyDescent="0.3">
      <c r="A42">
        <f t="shared" ref="A42:A73" si="17">$A41 + 1</f>
        <v>34</v>
      </c>
      <c r="B42" t="s">
        <v>166</v>
      </c>
      <c r="C42">
        <f ca="1">'Modello P-C SJF'!$C42</f>
        <v>0.82553962835603656</v>
      </c>
      <c r="D42">
        <f ca="1">'Modello P-C SJF'!$D42</f>
        <v>0.19171801149732456</v>
      </c>
      <c r="E42">
        <f ca="1">'Modello P-C SJF'!$E42</f>
        <v>36.523720378180592</v>
      </c>
      <c r="G42">
        <f ca="1">'Modello P-C SJF'!$G42</f>
        <v>0.14390146695992523</v>
      </c>
      <c r="H42">
        <f ca="1">'Modello P-C SJF'!$H42</f>
        <v>1.9874166350091298</v>
      </c>
      <c r="I42">
        <f t="shared" ref="I42:I73" ca="1" si="18">MAX($E42+$H42, $H42+$I41)</f>
        <v>44.202594569471067</v>
      </c>
      <c r="K42" s="2" t="s">
        <v>166</v>
      </c>
      <c r="O42">
        <f t="shared" ca="1" si="12"/>
        <v>7.6788741912904754</v>
      </c>
      <c r="P42">
        <f t="shared" ca="1" si="13"/>
        <v>5.6914579999999999</v>
      </c>
      <c r="Q42">
        <f t="shared" ref="Q42:Q73" ca="1" si="19">MAX(0,$Q41+$H41-$D42)</f>
        <v>5.6914575562813372</v>
      </c>
      <c r="S42">
        <f t="shared" ca="1" si="14"/>
        <v>34</v>
      </c>
      <c r="T42">
        <f t="shared" ca="1" si="15"/>
        <v>30</v>
      </c>
      <c r="U42">
        <f t="shared" ca="1" si="16"/>
        <v>4</v>
      </c>
    </row>
    <row r="43" spans="1:21" x14ac:dyDescent="0.3">
      <c r="A43">
        <f t="shared" si="17"/>
        <v>35</v>
      </c>
      <c r="B43" t="s">
        <v>165</v>
      </c>
      <c r="C43">
        <f ca="1">'Modello P-C SJF'!$C43</f>
        <v>0.2416499813459132</v>
      </c>
      <c r="D43">
        <f ca="1">'Modello P-C SJF'!$D43</f>
        <v>1.4202649578856954</v>
      </c>
      <c r="E43">
        <f ca="1">'Modello P-C SJF'!$E43</f>
        <v>37.943985336066284</v>
      </c>
      <c r="G43">
        <f ca="1">'Modello P-C SJF'!$G43</f>
        <v>0.16386063540925611</v>
      </c>
      <c r="H43">
        <f ca="1">'Modello P-C SJF'!$H43</f>
        <v>1.857529160688455</v>
      </c>
      <c r="I43">
        <f t="shared" ca="1" si="18"/>
        <v>46.060123730159525</v>
      </c>
      <c r="K43" s="2" t="s">
        <v>165</v>
      </c>
      <c r="O43">
        <f t="shared" ca="1" si="12"/>
        <v>8.116138394093241</v>
      </c>
      <c r="P43">
        <f t="shared" ca="1" si="13"/>
        <v>6.2586089999999999</v>
      </c>
      <c r="Q43">
        <f t="shared" ca="1" si="19"/>
        <v>6.2586092334047709</v>
      </c>
      <c r="S43">
        <f t="shared" ca="1" si="14"/>
        <v>35</v>
      </c>
      <c r="T43">
        <f t="shared" ca="1" si="15"/>
        <v>30</v>
      </c>
      <c r="U43">
        <f t="shared" ca="1" si="16"/>
        <v>5</v>
      </c>
    </row>
    <row r="44" spans="1:21" x14ac:dyDescent="0.3">
      <c r="A44">
        <f t="shared" si="17"/>
        <v>36</v>
      </c>
      <c r="B44" t="s">
        <v>164</v>
      </c>
      <c r="C44">
        <f ca="1">'Modello P-C SJF'!$C44</f>
        <v>0.45977321748236455</v>
      </c>
      <c r="D44">
        <f ca="1">'Modello P-C SJF'!$D44</f>
        <v>0.77702191653927233</v>
      </c>
      <c r="E44">
        <f ca="1">'Modello P-C SJF'!$E44</f>
        <v>38.721007252605553</v>
      </c>
      <c r="G44">
        <f ca="1">'Modello P-C SJF'!$G44</f>
        <v>8.5533000018118699E-3</v>
      </c>
      <c r="H44">
        <f ca="1">'Modello P-C SJF'!$H44</f>
        <v>4.8102282695440834</v>
      </c>
      <c r="I44">
        <f t="shared" ca="1" si="18"/>
        <v>50.870351999703608</v>
      </c>
      <c r="K44" s="2" t="s">
        <v>164</v>
      </c>
      <c r="O44">
        <f t="shared" ca="1" si="12"/>
        <v>12.149344747098056</v>
      </c>
      <c r="P44">
        <f t="shared" ca="1" si="13"/>
        <v>7.3391159999999998</v>
      </c>
      <c r="Q44">
        <f t="shared" ca="1" si="19"/>
        <v>7.3391164775539544</v>
      </c>
      <c r="S44">
        <f t="shared" ca="1" si="14"/>
        <v>36</v>
      </c>
      <c r="T44">
        <f t="shared" ca="1" si="15"/>
        <v>31</v>
      </c>
      <c r="U44">
        <f t="shared" ca="1" si="16"/>
        <v>5</v>
      </c>
    </row>
    <row r="45" spans="1:21" x14ac:dyDescent="0.3">
      <c r="A45">
        <f t="shared" si="17"/>
        <v>37</v>
      </c>
      <c r="B45" t="s">
        <v>163</v>
      </c>
      <c r="C45">
        <f ca="1">'Modello P-C SJF'!$C45</f>
        <v>0.92834365307107602</v>
      </c>
      <c r="D45">
        <f ca="1">'Modello P-C SJF'!$D45</f>
        <v>7.4353298936563741E-2</v>
      </c>
      <c r="E45">
        <f ca="1">'Modello P-C SJF'!$E45</f>
        <v>38.795360551542117</v>
      </c>
      <c r="G45">
        <f ca="1">'Modello P-C SJF'!$G45</f>
        <v>0.90679596264933926</v>
      </c>
      <c r="H45">
        <f ca="1">'Modello P-C SJF'!$H45</f>
        <v>0.14662797683364343</v>
      </c>
      <c r="I45">
        <f t="shared" ca="1" si="18"/>
        <v>51.01697997653725</v>
      </c>
      <c r="K45" s="2" t="s">
        <v>163</v>
      </c>
      <c r="O45">
        <f t="shared" ca="1" si="12"/>
        <v>12.221619424995133</v>
      </c>
      <c r="P45">
        <f t="shared" ca="1" si="13"/>
        <v>12.074991000000001</v>
      </c>
      <c r="Q45">
        <f t="shared" ca="1" si="19"/>
        <v>12.074991448161475</v>
      </c>
      <c r="S45">
        <f t="shared" ca="1" si="14"/>
        <v>37</v>
      </c>
      <c r="T45">
        <f t="shared" ca="1" si="15"/>
        <v>31</v>
      </c>
      <c r="U45">
        <f t="shared" ca="1" si="16"/>
        <v>6</v>
      </c>
    </row>
    <row r="46" spans="1:21" x14ac:dyDescent="0.3">
      <c r="A46">
        <f t="shared" si="17"/>
        <v>38</v>
      </c>
      <c r="B46" t="s">
        <v>162</v>
      </c>
      <c r="C46">
        <f ca="1">'Modello P-C SJF'!$C46</f>
        <v>0.79850715822677476</v>
      </c>
      <c r="D46">
        <f ca="1">'Modello P-C SJF'!$D46</f>
        <v>0.22501134677517304</v>
      </c>
      <c r="E46">
        <f ca="1">'Modello P-C SJF'!$E46</f>
        <v>39.020371898317293</v>
      </c>
      <c r="G46">
        <f ca="1">'Modello P-C SJF'!$G46</f>
        <v>0.59646830405162765</v>
      </c>
      <c r="H46">
        <f ca="1">'Modello P-C SJF'!$H46</f>
        <v>0.56551933956918721</v>
      </c>
      <c r="I46">
        <f t="shared" ca="1" si="18"/>
        <v>51.582499316106436</v>
      </c>
      <c r="K46" s="2" t="s">
        <v>162</v>
      </c>
      <c r="O46">
        <f t="shared" ca="1" si="12"/>
        <v>12.562127417789142</v>
      </c>
      <c r="P46">
        <f t="shared" ca="1" si="13"/>
        <v>11.996608</v>
      </c>
      <c r="Q46">
        <f t="shared" ca="1" si="19"/>
        <v>11.996608078219946</v>
      </c>
      <c r="S46">
        <f t="shared" ca="1" si="14"/>
        <v>38</v>
      </c>
      <c r="T46">
        <f t="shared" ca="1" si="15"/>
        <v>31</v>
      </c>
      <c r="U46">
        <f t="shared" ca="1" si="16"/>
        <v>7</v>
      </c>
    </row>
    <row r="47" spans="1:21" x14ac:dyDescent="0.3">
      <c r="A47">
        <f t="shared" si="17"/>
        <v>39</v>
      </c>
      <c r="B47" t="s">
        <v>161</v>
      </c>
      <c r="C47">
        <f ca="1">'Modello P-C SJF'!$C47</f>
        <v>0.29647478353902235</v>
      </c>
      <c r="D47">
        <f ca="1">'Modello P-C SJF'!$D47</f>
        <v>1.2157931112469933</v>
      </c>
      <c r="E47">
        <f ca="1">'Modello P-C SJF'!$E47</f>
        <v>40.236165009564289</v>
      </c>
      <c r="G47">
        <f ca="1">'Modello P-C SJF'!$G47</f>
        <v>0.19949921774573254</v>
      </c>
      <c r="H47">
        <f ca="1">'Modello P-C SJF'!$H47</f>
        <v>1.6607351279033609</v>
      </c>
      <c r="I47">
        <f t="shared" ca="1" si="18"/>
        <v>53.243234444009794</v>
      </c>
      <c r="K47" s="2" t="s">
        <v>161</v>
      </c>
      <c r="O47">
        <f t="shared" ca="1" si="12"/>
        <v>13.007069434445505</v>
      </c>
      <c r="P47">
        <f t="shared" ca="1" si="13"/>
        <v>11.346334000000001</v>
      </c>
      <c r="Q47">
        <f t="shared" ca="1" si="19"/>
        <v>11.34633430654214</v>
      </c>
      <c r="S47">
        <f t="shared" ca="1" si="14"/>
        <v>39</v>
      </c>
      <c r="T47">
        <f t="shared" ca="1" si="15"/>
        <v>31</v>
      </c>
      <c r="U47">
        <f t="shared" ca="1" si="16"/>
        <v>8</v>
      </c>
    </row>
    <row r="48" spans="1:21" x14ac:dyDescent="0.3">
      <c r="A48">
        <f t="shared" si="17"/>
        <v>40</v>
      </c>
      <c r="B48" t="s">
        <v>160</v>
      </c>
      <c r="C48">
        <f ca="1">'Modello P-C SJF'!$C48</f>
        <v>0.35773109920825663</v>
      </c>
      <c r="D48">
        <f ca="1">'Modello P-C SJF'!$D48</f>
        <v>1.0279736943430557</v>
      </c>
      <c r="E48">
        <f ca="1">'Modello P-C SJF'!$E48</f>
        <v>41.264138703907342</v>
      </c>
      <c r="G48">
        <f ca="1">'Modello P-C SJF'!$G48</f>
        <v>0.87182430251522691</v>
      </c>
      <c r="H48">
        <f ca="1">'Modello P-C SJF'!$H48</f>
        <v>0.18595752748526523</v>
      </c>
      <c r="I48">
        <f t="shared" ca="1" si="18"/>
        <v>53.429191971495058</v>
      </c>
      <c r="K48" s="2" t="s">
        <v>160</v>
      </c>
      <c r="O48">
        <f t="shared" ca="1" si="12"/>
        <v>12.165053267587716</v>
      </c>
      <c r="P48">
        <f t="shared" ca="1" si="13"/>
        <v>11.979096</v>
      </c>
      <c r="Q48">
        <f t="shared" ca="1" si="19"/>
        <v>11.979095740102446</v>
      </c>
      <c r="S48">
        <f t="shared" ca="1" si="14"/>
        <v>40</v>
      </c>
      <c r="T48">
        <f t="shared" ca="1" si="15"/>
        <v>32</v>
      </c>
      <c r="U48">
        <f t="shared" ca="1" si="16"/>
        <v>8</v>
      </c>
    </row>
    <row r="49" spans="1:21" x14ac:dyDescent="0.3">
      <c r="A49">
        <f t="shared" si="17"/>
        <v>41</v>
      </c>
      <c r="B49" t="s">
        <v>159</v>
      </c>
      <c r="C49">
        <f ca="1">'Modello P-C SJF'!$C49</f>
        <v>1.5290569988167357E-2</v>
      </c>
      <c r="D49">
        <f ca="1">'Modello P-C SJF'!$D49</f>
        <v>4.1805189812423782</v>
      </c>
      <c r="E49">
        <f ca="1">'Modello P-C SJF'!$E49</f>
        <v>45.444657685149721</v>
      </c>
      <c r="G49">
        <f ca="1">'Modello P-C SJF'!$G49</f>
        <v>0.5700196058027065</v>
      </c>
      <c r="H49">
        <f ca="1">'Modello P-C SJF'!$H49</f>
        <v>0.61087468676940793</v>
      </c>
      <c r="I49">
        <f t="shared" ca="1" si="18"/>
        <v>54.040066658264465</v>
      </c>
      <c r="K49" s="2" t="s">
        <v>159</v>
      </c>
      <c r="O49">
        <f t="shared" ca="1" si="12"/>
        <v>8.5954089731147434</v>
      </c>
      <c r="P49">
        <f t="shared" ca="1" si="13"/>
        <v>7.984534</v>
      </c>
      <c r="Q49">
        <f t="shared" ca="1" si="19"/>
        <v>7.9845342863453324</v>
      </c>
      <c r="S49">
        <f t="shared" ca="1" si="14"/>
        <v>41</v>
      </c>
      <c r="T49">
        <f t="shared" ca="1" si="15"/>
        <v>34</v>
      </c>
      <c r="U49">
        <f t="shared" ca="1" si="16"/>
        <v>7</v>
      </c>
    </row>
    <row r="50" spans="1:21" x14ac:dyDescent="0.3">
      <c r="A50">
        <f t="shared" si="17"/>
        <v>42</v>
      </c>
      <c r="B50" t="s">
        <v>158</v>
      </c>
      <c r="C50">
        <f ca="1">'Modello P-C SJF'!$C50</f>
        <v>0.15940893531851552</v>
      </c>
      <c r="D50">
        <f ca="1">'Modello P-C SJF'!$D50</f>
        <v>1.836282458246562</v>
      </c>
      <c r="E50">
        <f ca="1">'Modello P-C SJF'!$E50</f>
        <v>47.280940143396286</v>
      </c>
      <c r="G50">
        <f ca="1">'Modello P-C SJF'!$G50</f>
        <v>0.69886250333617383</v>
      </c>
      <c r="H50">
        <f ca="1">'Modello P-C SJF'!$H50</f>
        <v>0.40709142507902857</v>
      </c>
      <c r="I50">
        <f t="shared" ca="1" si="18"/>
        <v>54.447158083343496</v>
      </c>
      <c r="K50" s="2" t="s">
        <v>158</v>
      </c>
      <c r="O50">
        <f t="shared" ca="1" si="12"/>
        <v>7.1662179399472095</v>
      </c>
      <c r="P50">
        <f t="shared" ca="1" si="13"/>
        <v>6.7591270000000003</v>
      </c>
      <c r="Q50">
        <f t="shared" ca="1" si="19"/>
        <v>6.7591265148681776</v>
      </c>
      <c r="S50">
        <f t="shared" ca="1" si="14"/>
        <v>42</v>
      </c>
      <c r="T50">
        <f t="shared" ca="1" si="15"/>
        <v>35</v>
      </c>
      <c r="U50">
        <f t="shared" ca="1" si="16"/>
        <v>7</v>
      </c>
    </row>
    <row r="51" spans="1:21" x14ac:dyDescent="0.3">
      <c r="A51">
        <f t="shared" si="17"/>
        <v>43</v>
      </c>
      <c r="B51" t="s">
        <v>157</v>
      </c>
      <c r="C51">
        <f ca="1">'Modello P-C SJF'!$C51</f>
        <v>0.92081459591702941</v>
      </c>
      <c r="D51">
        <f ca="1">'Modello P-C SJF'!$D51</f>
        <v>8.2496570356666396E-2</v>
      </c>
      <c r="E51">
        <f ca="1">'Modello P-C SJF'!$E51</f>
        <v>47.363436713752954</v>
      </c>
      <c r="G51">
        <f ca="1">'Modello P-C SJF'!$G51</f>
        <v>0.18293781351740168</v>
      </c>
      <c r="H51">
        <f ca="1">'Modello P-C SJF'!$H51</f>
        <v>1.7473991649057752</v>
      </c>
      <c r="I51">
        <f t="shared" ca="1" si="18"/>
        <v>56.194557248249268</v>
      </c>
      <c r="K51" s="2" t="s">
        <v>157</v>
      </c>
      <c r="O51">
        <f t="shared" ca="1" si="12"/>
        <v>8.8311205344963142</v>
      </c>
      <c r="P51">
        <f t="shared" ca="1" si="13"/>
        <v>7.0837209999999997</v>
      </c>
      <c r="Q51">
        <f t="shared" ca="1" si="19"/>
        <v>7.0837213695905392</v>
      </c>
      <c r="S51">
        <f t="shared" ca="1" si="14"/>
        <v>43</v>
      </c>
      <c r="T51">
        <f t="shared" ca="1" si="15"/>
        <v>35</v>
      </c>
      <c r="U51">
        <f t="shared" ca="1" si="16"/>
        <v>8</v>
      </c>
    </row>
    <row r="52" spans="1:21" x14ac:dyDescent="0.3">
      <c r="A52">
        <f t="shared" si="17"/>
        <v>44</v>
      </c>
      <c r="B52" t="s">
        <v>156</v>
      </c>
      <c r="C52">
        <f ca="1">'Modello P-C SJF'!$C52</f>
        <v>0.5929065134216881</v>
      </c>
      <c r="D52">
        <f ca="1">'Modello P-C SJF'!$D52</f>
        <v>0.52271854262889073</v>
      </c>
      <c r="E52">
        <f ca="1">'Modello P-C SJF'!$E52</f>
        <v>47.886155256381848</v>
      </c>
      <c r="G52">
        <f ca="1">'Modello P-C SJF'!$G52</f>
        <v>0.97178882165943103</v>
      </c>
      <c r="H52">
        <f ca="1">'Modello P-C SJF'!$H52</f>
        <v>7.740692396311713E-2</v>
      </c>
      <c r="I52">
        <f t="shared" ca="1" si="18"/>
        <v>56.271964172212385</v>
      </c>
      <c r="K52" s="2" t="s">
        <v>156</v>
      </c>
      <c r="O52">
        <f t="shared" ca="1" si="12"/>
        <v>8.3858089158305376</v>
      </c>
      <c r="P52">
        <f t="shared" ca="1" si="13"/>
        <v>8.3084019999999992</v>
      </c>
      <c r="Q52">
        <f t="shared" ca="1" si="19"/>
        <v>8.3084019918674237</v>
      </c>
      <c r="S52">
        <f t="shared" ca="1" si="14"/>
        <v>44</v>
      </c>
      <c r="T52">
        <f t="shared" ca="1" si="15"/>
        <v>35</v>
      </c>
      <c r="U52">
        <f t="shared" ca="1" si="16"/>
        <v>9</v>
      </c>
    </row>
    <row r="53" spans="1:21" x14ac:dyDescent="0.3">
      <c r="A53">
        <f t="shared" si="17"/>
        <v>45</v>
      </c>
      <c r="B53" t="s">
        <v>155</v>
      </c>
      <c r="C53">
        <f ca="1">'Modello P-C SJF'!$C53</f>
        <v>0.9360197951406668</v>
      </c>
      <c r="D53">
        <f ca="1">'Modello P-C SJF'!$D53</f>
        <v>6.6118654073616098E-2</v>
      </c>
      <c r="E53">
        <f ca="1">'Modello P-C SJF'!$E53</f>
        <v>47.952273910455467</v>
      </c>
      <c r="G53">
        <f ca="1">'Modello P-C SJF'!$G53</f>
        <v>0.63215345868933748</v>
      </c>
      <c r="H53">
        <f ca="1">'Modello P-C SJF'!$H53</f>
        <v>0.50741326409748944</v>
      </c>
      <c r="I53">
        <f t="shared" ca="1" si="18"/>
        <v>56.779377436309872</v>
      </c>
      <c r="K53" s="2" t="s">
        <v>155</v>
      </c>
      <c r="O53">
        <f t="shared" ca="1" si="12"/>
        <v>8.8271035258544046</v>
      </c>
      <c r="P53">
        <f t="shared" ca="1" si="13"/>
        <v>8.3196899999999996</v>
      </c>
      <c r="Q53">
        <f t="shared" ca="1" si="19"/>
        <v>8.3196902617569251</v>
      </c>
      <c r="S53">
        <f t="shared" ca="1" si="14"/>
        <v>45</v>
      </c>
      <c r="T53">
        <f t="shared" ca="1" si="15"/>
        <v>35</v>
      </c>
      <c r="U53">
        <f t="shared" ca="1" si="16"/>
        <v>10</v>
      </c>
    </row>
    <row r="54" spans="1:21" x14ac:dyDescent="0.3">
      <c r="A54">
        <f t="shared" si="17"/>
        <v>46</v>
      </c>
      <c r="B54" t="s">
        <v>154</v>
      </c>
      <c r="C54">
        <f ca="1">'Modello P-C SJF'!$C54</f>
        <v>0.88670884970862773</v>
      </c>
      <c r="D54">
        <f ca="1">'Modello P-C SJF'!$D54</f>
        <v>0.12023859214679512</v>
      </c>
      <c r="E54">
        <f ca="1">'Modello P-C SJF'!$E54</f>
        <v>48.072512502602265</v>
      </c>
      <c r="G54">
        <f ca="1">'Modello P-C SJF'!$G54</f>
        <v>0.26524171283428011</v>
      </c>
      <c r="H54">
        <f ca="1">'Modello P-C SJF'!$H54</f>
        <v>1.3759039089946299</v>
      </c>
      <c r="I54">
        <f t="shared" ca="1" si="18"/>
        <v>58.155281345304502</v>
      </c>
      <c r="K54" s="2" t="s">
        <v>154</v>
      </c>
      <c r="O54">
        <f t="shared" ca="1" si="12"/>
        <v>10.082768842702237</v>
      </c>
      <c r="P54">
        <f t="shared" ca="1" si="13"/>
        <v>8.7068650000000005</v>
      </c>
      <c r="Q54">
        <f t="shared" ca="1" si="19"/>
        <v>8.7068649337076209</v>
      </c>
      <c r="S54">
        <f t="shared" ca="1" si="14"/>
        <v>46</v>
      </c>
      <c r="T54">
        <f t="shared" ca="1" si="15"/>
        <v>35</v>
      </c>
      <c r="U54">
        <f t="shared" ca="1" si="16"/>
        <v>11</v>
      </c>
    </row>
    <row r="55" spans="1:21" x14ac:dyDescent="0.3">
      <c r="A55">
        <f t="shared" si="17"/>
        <v>47</v>
      </c>
      <c r="B55" t="s">
        <v>153</v>
      </c>
      <c r="C55">
        <f ca="1">'Modello P-C SJF'!$C55</f>
        <v>0.67721273003472338</v>
      </c>
      <c r="D55">
        <f ca="1">'Modello P-C SJF'!$D55</f>
        <v>0.3897698308568322</v>
      </c>
      <c r="E55">
        <f ca="1">'Modello P-C SJF'!$E55</f>
        <v>48.4622823334591</v>
      </c>
      <c r="G55">
        <f ca="1">'Modello P-C SJF'!$G55</f>
        <v>0.67078901182063677</v>
      </c>
      <c r="H55">
        <f ca="1">'Modello P-C SJF'!$H55</f>
        <v>0.44809079404533175</v>
      </c>
      <c r="I55">
        <f t="shared" ca="1" si="18"/>
        <v>58.603372139349837</v>
      </c>
      <c r="K55" s="2" t="s">
        <v>153</v>
      </c>
      <c r="O55">
        <f t="shared" ca="1" si="12"/>
        <v>10.141089805890736</v>
      </c>
      <c r="P55">
        <f t="shared" ca="1" si="13"/>
        <v>9.6929990000000004</v>
      </c>
      <c r="Q55">
        <f t="shared" ca="1" si="19"/>
        <v>9.6929990118454192</v>
      </c>
      <c r="S55">
        <f t="shared" ca="1" si="14"/>
        <v>47</v>
      </c>
      <c r="T55">
        <f t="shared" ca="1" si="15"/>
        <v>35</v>
      </c>
      <c r="U55">
        <f t="shared" ca="1" si="16"/>
        <v>12</v>
      </c>
    </row>
    <row r="56" spans="1:21" x14ac:dyDescent="0.3">
      <c r="A56">
        <f t="shared" si="17"/>
        <v>48</v>
      </c>
      <c r="B56" t="s">
        <v>152</v>
      </c>
      <c r="C56">
        <f ca="1">'Modello P-C SJF'!$C56</f>
        <v>0.10852953412418276</v>
      </c>
      <c r="D56">
        <f ca="1">'Modello P-C SJF'!$D56</f>
        <v>2.220732939132867</v>
      </c>
      <c r="E56">
        <f ca="1">'Modello P-C SJF'!$E56</f>
        <v>50.683015272591966</v>
      </c>
      <c r="G56">
        <f ca="1">'Modello P-C SJF'!$G56</f>
        <v>0.18442427384057436</v>
      </c>
      <c r="H56">
        <f ca="1">'Modello P-C SJF'!$H56</f>
        <v>1.7393065038129789</v>
      </c>
      <c r="I56">
        <f t="shared" ca="1" si="18"/>
        <v>60.342678643162813</v>
      </c>
      <c r="K56" s="2" t="s">
        <v>152</v>
      </c>
      <c r="O56">
        <f t="shared" ca="1" si="12"/>
        <v>9.659663370570847</v>
      </c>
      <c r="P56">
        <f t="shared" ca="1" si="13"/>
        <v>7.9203570000000001</v>
      </c>
      <c r="Q56">
        <f t="shared" ca="1" si="19"/>
        <v>7.9203568667578832</v>
      </c>
      <c r="S56">
        <f t="shared" ca="1" si="14"/>
        <v>48</v>
      </c>
      <c r="T56">
        <f t="shared" ca="1" si="15"/>
        <v>35</v>
      </c>
      <c r="U56">
        <f t="shared" ca="1" si="16"/>
        <v>13</v>
      </c>
    </row>
    <row r="57" spans="1:21" x14ac:dyDescent="0.3">
      <c r="A57">
        <f t="shared" si="17"/>
        <v>49</v>
      </c>
      <c r="B57" t="s">
        <v>151</v>
      </c>
      <c r="C57">
        <f ca="1">'Modello P-C SJF'!$C57</f>
        <v>0.69155823736494326</v>
      </c>
      <c r="D57">
        <f ca="1">'Modello P-C SJF'!$D57</f>
        <v>0.3688079125299088</v>
      </c>
      <c r="E57">
        <f ca="1">'Modello P-C SJF'!$E57</f>
        <v>51.051823185121876</v>
      </c>
      <c r="G57">
        <f ca="1">'Modello P-C SJF'!$G57</f>
        <v>0.79408327967815739</v>
      </c>
      <c r="H57">
        <f ca="1">'Modello P-C SJF'!$H57</f>
        <v>0.27935710116008022</v>
      </c>
      <c r="I57">
        <f t="shared" ca="1" si="18"/>
        <v>60.622035744322893</v>
      </c>
      <c r="K57" s="2" t="s">
        <v>151</v>
      </c>
      <c r="O57">
        <f t="shared" ca="1" si="12"/>
        <v>9.5702125592010177</v>
      </c>
      <c r="P57">
        <f t="shared" ca="1" si="13"/>
        <v>9.2908550000000005</v>
      </c>
      <c r="Q57">
        <f t="shared" ca="1" si="19"/>
        <v>9.2908554580409533</v>
      </c>
      <c r="S57">
        <f t="shared" ca="1" si="14"/>
        <v>49</v>
      </c>
      <c r="T57">
        <f t="shared" ca="1" si="15"/>
        <v>37</v>
      </c>
      <c r="U57">
        <f t="shared" ca="1" si="16"/>
        <v>12</v>
      </c>
    </row>
    <row r="58" spans="1:21" x14ac:dyDescent="0.3">
      <c r="A58">
        <f t="shared" si="17"/>
        <v>50</v>
      </c>
      <c r="B58" t="s">
        <v>150</v>
      </c>
      <c r="C58">
        <f ca="1">'Modello P-C SJF'!$C58</f>
        <v>0.12478088183472624</v>
      </c>
      <c r="D58">
        <f ca="1">'Modello P-C SJF'!$D58</f>
        <v>2.0811960252085346</v>
      </c>
      <c r="E58">
        <f ca="1">'Modello P-C SJF'!$E58</f>
        <v>53.13301921033041</v>
      </c>
      <c r="G58">
        <f ca="1">'Modello P-C SJF'!$G58</f>
        <v>7.8775460492435889E-2</v>
      </c>
      <c r="H58">
        <f ca="1">'Modello P-C SJF'!$H58</f>
        <v>2.5899439098580888</v>
      </c>
      <c r="I58">
        <f t="shared" ca="1" si="18"/>
        <v>63.211979654180979</v>
      </c>
      <c r="K58" s="2" t="s">
        <v>150</v>
      </c>
      <c r="O58">
        <f t="shared" ca="1" si="12"/>
        <v>10.078960443850569</v>
      </c>
      <c r="P58">
        <f t="shared" ca="1" si="13"/>
        <v>7.4890169999999996</v>
      </c>
      <c r="Q58">
        <f t="shared" ca="1" si="19"/>
        <v>7.4890165339924994</v>
      </c>
      <c r="S58">
        <f t="shared" ca="1" si="14"/>
        <v>50</v>
      </c>
      <c r="T58">
        <f t="shared" ca="1" si="15"/>
        <v>38</v>
      </c>
      <c r="U58">
        <f t="shared" ca="1" si="16"/>
        <v>12</v>
      </c>
    </row>
    <row r="59" spans="1:21" x14ac:dyDescent="0.3">
      <c r="A59">
        <f t="shared" si="17"/>
        <v>51</v>
      </c>
      <c r="B59" t="s">
        <v>149</v>
      </c>
      <c r="C59">
        <f ca="1">'Modello P-C SJF'!$C59</f>
        <v>0.80912354794059738</v>
      </c>
      <c r="D59">
        <f ca="1">'Modello P-C SJF'!$D59</f>
        <v>0.21180365672261828</v>
      </c>
      <c r="E59">
        <f ca="1">'Modello P-C SJF'!$E59</f>
        <v>53.344822867053026</v>
      </c>
      <c r="G59">
        <f ca="1">'Modello P-C SJF'!$G59</f>
        <v>0.7024087168099169</v>
      </c>
      <c r="H59">
        <f ca="1">'Modello P-C SJF'!$H59</f>
        <v>0.40202999087076841</v>
      </c>
      <c r="I59">
        <f t="shared" ca="1" si="18"/>
        <v>63.614009645051745</v>
      </c>
      <c r="K59" s="2" t="s">
        <v>149</v>
      </c>
      <c r="O59">
        <f t="shared" ca="1" si="12"/>
        <v>10.269186777998719</v>
      </c>
      <c r="P59">
        <f t="shared" ca="1" si="13"/>
        <v>9.8671570000000006</v>
      </c>
      <c r="Q59">
        <f t="shared" ca="1" si="19"/>
        <v>9.8671567871279695</v>
      </c>
      <c r="S59">
        <f t="shared" ca="1" si="14"/>
        <v>51</v>
      </c>
      <c r="T59">
        <f t="shared" ca="1" si="15"/>
        <v>39</v>
      </c>
      <c r="U59">
        <f t="shared" ca="1" si="16"/>
        <v>12</v>
      </c>
    </row>
    <row r="60" spans="1:21" x14ac:dyDescent="0.3">
      <c r="A60">
        <f t="shared" si="17"/>
        <v>52</v>
      </c>
      <c r="B60" t="s">
        <v>148</v>
      </c>
      <c r="C60">
        <f ca="1">'Modello P-C SJF'!$C60</f>
        <v>0.94859542483711468</v>
      </c>
      <c r="D60">
        <f ca="1">'Modello P-C SJF'!$D60</f>
        <v>5.2772888618898728E-2</v>
      </c>
      <c r="E60">
        <f ca="1">'Modello P-C SJF'!$E60</f>
        <v>53.397595755671922</v>
      </c>
      <c r="G60">
        <f ca="1">'Modello P-C SJF'!$G60</f>
        <v>0.45137206145119224</v>
      </c>
      <c r="H60">
        <f ca="1">'Modello P-C SJF'!$H60</f>
        <v>0.84425347379127336</v>
      </c>
      <c r="I60">
        <f t="shared" ca="1" si="18"/>
        <v>64.458263118843021</v>
      </c>
      <c r="K60" s="2" t="s">
        <v>148</v>
      </c>
      <c r="O60">
        <f t="shared" ca="1" si="12"/>
        <v>11.060667363171099</v>
      </c>
      <c r="P60">
        <f t="shared" ca="1" si="13"/>
        <v>10.216414</v>
      </c>
      <c r="Q60">
        <f t="shared" ca="1" si="19"/>
        <v>10.21641388937984</v>
      </c>
      <c r="S60">
        <f t="shared" ca="1" si="14"/>
        <v>52</v>
      </c>
      <c r="T60">
        <f t="shared" ca="1" si="15"/>
        <v>39</v>
      </c>
      <c r="U60">
        <f t="shared" ca="1" si="16"/>
        <v>13</v>
      </c>
    </row>
    <row r="61" spans="1:21" x14ac:dyDescent="0.3">
      <c r="A61">
        <f t="shared" si="17"/>
        <v>53</v>
      </c>
      <c r="B61" t="s">
        <v>147</v>
      </c>
      <c r="C61">
        <f ca="1">'Modello P-C SJF'!$C61</f>
        <v>7.986291545429347E-2</v>
      </c>
      <c r="D61">
        <f ca="1">'Modello P-C SJF'!$D61</f>
        <v>2.5274436709473944</v>
      </c>
      <c r="E61">
        <f ca="1">'Modello P-C SJF'!$E61</f>
        <v>55.925039426619314</v>
      </c>
      <c r="G61">
        <f ca="1">'Modello P-C SJF'!$G61</f>
        <v>0.56436241920463026</v>
      </c>
      <c r="H61">
        <f ca="1">'Modello P-C SJF'!$H61</f>
        <v>0.62084881078203713</v>
      </c>
      <c r="I61">
        <f t="shared" ca="1" si="18"/>
        <v>65.079111929625057</v>
      </c>
      <c r="K61" s="2" t="s">
        <v>147</v>
      </c>
      <c r="O61">
        <f t="shared" ca="1" si="12"/>
        <v>9.154072503005743</v>
      </c>
      <c r="P61">
        <f t="shared" ca="1" si="13"/>
        <v>8.5332240000000006</v>
      </c>
      <c r="Q61">
        <f t="shared" ca="1" si="19"/>
        <v>8.5332236922237179</v>
      </c>
      <c r="S61">
        <f t="shared" ca="1" si="14"/>
        <v>53</v>
      </c>
      <c r="T61">
        <f t="shared" ca="1" si="15"/>
        <v>42</v>
      </c>
      <c r="U61">
        <f t="shared" ca="1" si="16"/>
        <v>11</v>
      </c>
    </row>
    <row r="62" spans="1:21" x14ac:dyDescent="0.3">
      <c r="A62">
        <f t="shared" si="17"/>
        <v>54</v>
      </c>
      <c r="B62" t="s">
        <v>146</v>
      </c>
      <c r="C62">
        <f ca="1">'Modello P-C SJF'!$C62</f>
        <v>0.51682873236331794</v>
      </c>
      <c r="D62">
        <f ca="1">'Modello P-C SJF'!$D62</f>
        <v>0.66004373138093619</v>
      </c>
      <c r="E62">
        <f ca="1">'Modello P-C SJF'!$E62</f>
        <v>56.585083158000252</v>
      </c>
      <c r="G62">
        <f ca="1">'Modello P-C SJF'!$G62</f>
        <v>0.28151861988342197</v>
      </c>
      <c r="H62">
        <f ca="1">'Modello P-C SJF'!$H62</f>
        <v>1.3163468525251425</v>
      </c>
      <c r="I62">
        <f t="shared" ca="1" si="18"/>
        <v>66.3954587821502</v>
      </c>
      <c r="K62" s="2" t="s">
        <v>146</v>
      </c>
      <c r="O62">
        <f t="shared" ca="1" si="12"/>
        <v>9.8103756241499482</v>
      </c>
      <c r="P62">
        <f t="shared" ca="1" si="13"/>
        <v>8.4940289999999994</v>
      </c>
      <c r="Q62">
        <f t="shared" ca="1" si="19"/>
        <v>8.4940287716248193</v>
      </c>
      <c r="S62">
        <f t="shared" ca="1" si="14"/>
        <v>54</v>
      </c>
      <c r="T62">
        <f t="shared" ca="1" si="15"/>
        <v>44</v>
      </c>
      <c r="U62">
        <f t="shared" ca="1" si="16"/>
        <v>10</v>
      </c>
    </row>
    <row r="63" spans="1:21" x14ac:dyDescent="0.3">
      <c r="A63">
        <f t="shared" si="17"/>
        <v>55</v>
      </c>
      <c r="B63" t="s">
        <v>145</v>
      </c>
      <c r="C63">
        <f ca="1">'Modello P-C SJF'!$C63</f>
        <v>0.75662653189960305</v>
      </c>
      <c r="D63">
        <f ca="1">'Modello P-C SJF'!$D63</f>
        <v>0.27888550012392554</v>
      </c>
      <c r="E63">
        <f ca="1">'Modello P-C SJF'!$E63</f>
        <v>56.863968658124179</v>
      </c>
      <c r="G63">
        <f ca="1">'Modello P-C SJF'!$G63</f>
        <v>0.53307956082221597</v>
      </c>
      <c r="H63">
        <f ca="1">'Modello P-C SJF'!$H63</f>
        <v>0.67787476029005589</v>
      </c>
      <c r="I63">
        <f t="shared" ca="1" si="18"/>
        <v>67.073333542440253</v>
      </c>
      <c r="K63" s="2" t="s">
        <v>145</v>
      </c>
      <c r="O63">
        <f t="shared" ca="1" si="12"/>
        <v>10.209364884316074</v>
      </c>
      <c r="P63">
        <f t="shared" ca="1" si="13"/>
        <v>9.5314899999999998</v>
      </c>
      <c r="Q63">
        <f t="shared" ca="1" si="19"/>
        <v>9.5314901240260372</v>
      </c>
      <c r="S63">
        <f t="shared" ca="1" si="14"/>
        <v>55</v>
      </c>
      <c r="T63">
        <f t="shared" ca="1" si="15"/>
        <v>45</v>
      </c>
      <c r="U63">
        <f t="shared" ca="1" si="16"/>
        <v>10</v>
      </c>
    </row>
    <row r="64" spans="1:21" x14ac:dyDescent="0.3">
      <c r="A64">
        <f t="shared" si="17"/>
        <v>56</v>
      </c>
      <c r="B64" t="s">
        <v>144</v>
      </c>
      <c r="C64">
        <f ca="1">'Modello P-C SJF'!$C64</f>
        <v>0.14798431391036593</v>
      </c>
      <c r="D64">
        <f ca="1">'Modello P-C SJF'!$D64</f>
        <v>1.9106489979271728</v>
      </c>
      <c r="E64">
        <f ca="1">'Modello P-C SJF'!$E64</f>
        <v>58.774617656051355</v>
      </c>
      <c r="G64">
        <f ca="1">'Modello P-C SJF'!$G64</f>
        <v>0.31516755041281153</v>
      </c>
      <c r="H64">
        <f ca="1">'Modello P-C SJF'!$H64</f>
        <v>1.2034410396654105</v>
      </c>
      <c r="I64">
        <f t="shared" ca="1" si="18"/>
        <v>68.276774582105659</v>
      </c>
      <c r="K64" s="2" t="s">
        <v>144</v>
      </c>
      <c r="O64">
        <f t="shared" ca="1" si="12"/>
        <v>9.5021569260543046</v>
      </c>
      <c r="P64">
        <f t="shared" ca="1" si="13"/>
        <v>8.2987160000000006</v>
      </c>
      <c r="Q64">
        <f t="shared" ca="1" si="19"/>
        <v>8.298715886388921</v>
      </c>
      <c r="S64">
        <f t="shared" ca="1" si="14"/>
        <v>56</v>
      </c>
      <c r="T64">
        <f t="shared" ca="1" si="15"/>
        <v>47</v>
      </c>
      <c r="U64">
        <f t="shared" ca="1" si="16"/>
        <v>9</v>
      </c>
    </row>
    <row r="65" spans="1:21" x14ac:dyDescent="0.3">
      <c r="A65">
        <f t="shared" si="17"/>
        <v>57</v>
      </c>
      <c r="B65" t="s">
        <v>143</v>
      </c>
      <c r="C65">
        <f ca="1">'Modello P-C SJF'!$C65</f>
        <v>0.62786797054054511</v>
      </c>
      <c r="D65">
        <f ca="1">'Modello P-C SJF'!$D65</f>
        <v>0.46542537260980577</v>
      </c>
      <c r="E65">
        <f ca="1">'Modello P-C SJF'!$E65</f>
        <v>59.240043028661162</v>
      </c>
      <c r="G65">
        <f ca="1">'Modello P-C SJF'!$G65</f>
        <v>0.24186662937938941</v>
      </c>
      <c r="H65">
        <f ca="1">'Modello P-C SJF'!$H65</f>
        <v>1.4681589871833611</v>
      </c>
      <c r="I65">
        <f t="shared" ca="1" si="18"/>
        <v>69.744933569289017</v>
      </c>
      <c r="K65" s="2" t="s">
        <v>143</v>
      </c>
      <c r="O65">
        <f t="shared" ca="1" si="12"/>
        <v>10.504890540627855</v>
      </c>
      <c r="P65">
        <f t="shared" ca="1" si="13"/>
        <v>9.0367320000000007</v>
      </c>
      <c r="Q65">
        <f t="shared" ca="1" si="19"/>
        <v>9.0367315534445254</v>
      </c>
      <c r="S65">
        <f t="shared" ca="1" si="14"/>
        <v>57</v>
      </c>
      <c r="T65">
        <f t="shared" ca="1" si="15"/>
        <v>47</v>
      </c>
      <c r="U65">
        <f t="shared" ca="1" si="16"/>
        <v>10</v>
      </c>
    </row>
    <row r="66" spans="1:21" x14ac:dyDescent="0.3">
      <c r="A66">
        <f t="shared" si="17"/>
        <v>58</v>
      </c>
      <c r="B66" t="s">
        <v>142</v>
      </c>
      <c r="C66">
        <f ca="1">'Modello P-C SJF'!$C66</f>
        <v>0.43454985752397401</v>
      </c>
      <c r="D66">
        <f ca="1">'Modello P-C SJF'!$D66</f>
        <v>0.83344459396899206</v>
      </c>
      <c r="E66">
        <f ca="1">'Modello P-C SJF'!$E66</f>
        <v>60.073487622630154</v>
      </c>
      <c r="G66">
        <f ca="1">'Modello P-C SJF'!$G66</f>
        <v>0.41180158432880176</v>
      </c>
      <c r="H66">
        <f ca="1">'Modello P-C SJF'!$H66</f>
        <v>0.93600380123939042</v>
      </c>
      <c r="I66">
        <f t="shared" ca="1" si="18"/>
        <v>70.680937370528412</v>
      </c>
      <c r="K66" s="2" t="s">
        <v>142</v>
      </c>
      <c r="O66">
        <f t="shared" ca="1" si="12"/>
        <v>10.607449747898258</v>
      </c>
      <c r="P66">
        <f t="shared" ca="1" si="13"/>
        <v>9.6714459999999995</v>
      </c>
      <c r="Q66">
        <f t="shared" ca="1" si="19"/>
        <v>9.6714459466588956</v>
      </c>
      <c r="S66">
        <f t="shared" ca="1" si="14"/>
        <v>58</v>
      </c>
      <c r="T66">
        <f t="shared" ca="1" si="15"/>
        <v>47</v>
      </c>
      <c r="U66">
        <f t="shared" ca="1" si="16"/>
        <v>11</v>
      </c>
    </row>
    <row r="67" spans="1:21" x14ac:dyDescent="0.3">
      <c r="A67">
        <f t="shared" si="17"/>
        <v>59</v>
      </c>
      <c r="B67" t="s">
        <v>141</v>
      </c>
      <c r="C67">
        <f ca="1">'Modello P-C SJF'!$C67</f>
        <v>2.1607976773185267E-2</v>
      </c>
      <c r="D67">
        <f ca="1">'Modello P-C SJF'!$D67</f>
        <v>3.8346927374097799</v>
      </c>
      <c r="E67">
        <f ca="1">'Modello P-C SJF'!$E67</f>
        <v>63.908180360039935</v>
      </c>
      <c r="G67">
        <f ca="1">'Modello P-C SJF'!$G67</f>
        <v>0.66610132469774441</v>
      </c>
      <c r="H67">
        <f ca="1">'Modello P-C SJF'!$H67</f>
        <v>0.45510364499736983</v>
      </c>
      <c r="I67">
        <f t="shared" ca="1" si="18"/>
        <v>71.136041015525777</v>
      </c>
      <c r="K67" s="2" t="s">
        <v>141</v>
      </c>
      <c r="O67">
        <f t="shared" ca="1" si="12"/>
        <v>7.2278606554858413</v>
      </c>
      <c r="P67">
        <f t="shared" ca="1" si="13"/>
        <v>6.7727570000000004</v>
      </c>
      <c r="Q67">
        <f t="shared" ca="1" si="19"/>
        <v>6.7727570104885064</v>
      </c>
      <c r="S67">
        <f t="shared" ca="1" si="14"/>
        <v>59</v>
      </c>
      <c r="T67">
        <f t="shared" ca="1" si="15"/>
        <v>51</v>
      </c>
      <c r="U67">
        <f t="shared" ca="1" si="16"/>
        <v>8</v>
      </c>
    </row>
    <row r="68" spans="1:21" x14ac:dyDescent="0.3">
      <c r="A68">
        <f t="shared" si="17"/>
        <v>60</v>
      </c>
      <c r="B68" t="s">
        <v>140</v>
      </c>
      <c r="C68">
        <f ca="1">'Modello P-C SJF'!$C68</f>
        <v>0.27713983061765557</v>
      </c>
      <c r="D68">
        <f ca="1">'Modello P-C SJF'!$D68</f>
        <v>1.2832330964914633</v>
      </c>
      <c r="E68">
        <f ca="1">'Modello P-C SJF'!$E68</f>
        <v>65.191413456531393</v>
      </c>
      <c r="G68">
        <f ca="1">'Modello P-C SJF'!$G68</f>
        <v>0.90874457584448998</v>
      </c>
      <c r="H68">
        <f ca="1">'Modello P-C SJF'!$H68</f>
        <v>0.14448138313101799</v>
      </c>
      <c r="I68">
        <f t="shared" ca="1" si="18"/>
        <v>71.2805223986568</v>
      </c>
      <c r="K68" s="2" t="s">
        <v>140</v>
      </c>
      <c r="O68">
        <f t="shared" ca="1" si="12"/>
        <v>6.0891089421254065</v>
      </c>
      <c r="P68">
        <f t="shared" ca="1" si="13"/>
        <v>5.9446279999999998</v>
      </c>
      <c r="Q68">
        <f t="shared" ca="1" si="19"/>
        <v>5.9446275589944122</v>
      </c>
      <c r="S68">
        <f t="shared" ca="1" si="14"/>
        <v>60</v>
      </c>
      <c r="T68">
        <f t="shared" ca="1" si="15"/>
        <v>53</v>
      </c>
      <c r="U68">
        <f t="shared" ca="1" si="16"/>
        <v>7</v>
      </c>
    </row>
    <row r="69" spans="1:21" x14ac:dyDescent="0.3">
      <c r="A69">
        <f t="shared" si="17"/>
        <v>61</v>
      </c>
      <c r="B69" t="s">
        <v>139</v>
      </c>
      <c r="C69">
        <f ca="1">'Modello P-C SJF'!$C69</f>
        <v>0.45761250044773361</v>
      </c>
      <c r="D69">
        <f ca="1">'Modello P-C SJF'!$D69</f>
        <v>0.7817325218776574</v>
      </c>
      <c r="E69">
        <f ca="1">'Modello P-C SJF'!$E69</f>
        <v>65.97314597840905</v>
      </c>
      <c r="G69">
        <f ca="1">'Modello P-C SJF'!$G69</f>
        <v>0.46895183327034873</v>
      </c>
      <c r="H69">
        <f ca="1">'Modello P-C SJF'!$H69</f>
        <v>0.80604538089549072</v>
      </c>
      <c r="I69">
        <f t="shared" ca="1" si="18"/>
        <v>72.086567779552297</v>
      </c>
      <c r="K69" s="2" t="s">
        <v>139</v>
      </c>
      <c r="O69">
        <f t="shared" ca="1" si="12"/>
        <v>6.1134218011432466</v>
      </c>
      <c r="P69">
        <f t="shared" ca="1" si="13"/>
        <v>5.3073759999999996</v>
      </c>
      <c r="Q69">
        <f t="shared" ca="1" si="19"/>
        <v>5.3073764202477731</v>
      </c>
      <c r="S69">
        <f t="shared" ca="1" si="14"/>
        <v>61</v>
      </c>
      <c r="T69">
        <f t="shared" ca="1" si="15"/>
        <v>53</v>
      </c>
      <c r="U69">
        <f t="shared" ca="1" si="16"/>
        <v>8</v>
      </c>
    </row>
    <row r="70" spans="1:21" x14ac:dyDescent="0.3">
      <c r="A70">
        <f t="shared" si="17"/>
        <v>62</v>
      </c>
      <c r="B70" t="s">
        <v>138</v>
      </c>
      <c r="C70">
        <f ca="1">'Modello P-C SJF'!$C70</f>
        <v>0.49628488630533829</v>
      </c>
      <c r="D70">
        <f ca="1">'Modello P-C SJF'!$D70</f>
        <v>0.70060514959203246</v>
      </c>
      <c r="E70">
        <f ca="1">'Modello P-C SJF'!$E70</f>
        <v>66.673751128001086</v>
      </c>
      <c r="G70">
        <f ca="1">'Modello P-C SJF'!$G70</f>
        <v>0.48212589080556267</v>
      </c>
      <c r="H70">
        <f ca="1">'Modello P-C SJF'!$H70</f>
        <v>0.77834017895972951</v>
      </c>
      <c r="I70">
        <f t="shared" ca="1" si="18"/>
        <v>72.864907958512021</v>
      </c>
      <c r="K70" s="2" t="s">
        <v>138</v>
      </c>
      <c r="O70">
        <f t="shared" ca="1" si="12"/>
        <v>6.1911568305109341</v>
      </c>
      <c r="P70">
        <f t="shared" ca="1" si="13"/>
        <v>5.4128170000000004</v>
      </c>
      <c r="Q70">
        <f t="shared" ca="1" si="19"/>
        <v>5.412816651551231</v>
      </c>
      <c r="S70">
        <f t="shared" ca="1" si="14"/>
        <v>62</v>
      </c>
      <c r="T70">
        <f t="shared" ca="1" si="15"/>
        <v>54</v>
      </c>
      <c r="U70">
        <f t="shared" ca="1" si="16"/>
        <v>8</v>
      </c>
    </row>
    <row r="71" spans="1:21" x14ac:dyDescent="0.3">
      <c r="A71">
        <f t="shared" si="17"/>
        <v>63</v>
      </c>
      <c r="B71" t="s">
        <v>137</v>
      </c>
      <c r="C71">
        <f ca="1">'Modello P-C SJF'!$C71</f>
        <v>0.49381058254156796</v>
      </c>
      <c r="D71">
        <f ca="1">'Modello P-C SJF'!$D71</f>
        <v>0.70560327147532431</v>
      </c>
      <c r="E71">
        <f ca="1">'Modello P-C SJF'!$E71</f>
        <v>67.379354399476412</v>
      </c>
      <c r="G71">
        <f ca="1">'Modello P-C SJF'!$G71</f>
        <v>0.7805095256312633</v>
      </c>
      <c r="H71">
        <f ca="1">'Modello P-C SJF'!$H71</f>
        <v>0.29659849874619648</v>
      </c>
      <c r="I71">
        <f t="shared" ca="1" si="18"/>
        <v>73.161506457258213</v>
      </c>
      <c r="K71" s="2" t="s">
        <v>137</v>
      </c>
      <c r="O71">
        <f t="shared" ca="1" si="12"/>
        <v>5.7821520577818006</v>
      </c>
      <c r="P71">
        <f t="shared" ca="1" si="13"/>
        <v>5.4855539999999996</v>
      </c>
      <c r="Q71">
        <f t="shared" ca="1" si="19"/>
        <v>5.4855535590356368</v>
      </c>
      <c r="S71">
        <f t="shared" ca="1" si="14"/>
        <v>63</v>
      </c>
      <c r="T71">
        <f t="shared" ca="1" si="15"/>
        <v>55</v>
      </c>
      <c r="U71">
        <f t="shared" ca="1" si="16"/>
        <v>8</v>
      </c>
    </row>
    <row r="72" spans="1:21" x14ac:dyDescent="0.3">
      <c r="A72">
        <f t="shared" si="17"/>
        <v>64</v>
      </c>
      <c r="B72" t="s">
        <v>136</v>
      </c>
      <c r="C72">
        <f ca="1">'Modello P-C SJF'!$C72</f>
        <v>0.49091105344097297</v>
      </c>
      <c r="D72">
        <f ca="1">'Modello P-C SJF'!$D72</f>
        <v>0.71149232148600272</v>
      </c>
      <c r="E72">
        <f ca="1">'Modello P-C SJF'!$E72</f>
        <v>68.090846720962418</v>
      </c>
      <c r="G72">
        <f ca="1">'Modello P-C SJF'!$G72</f>
        <v>0.14478696146047698</v>
      </c>
      <c r="H72">
        <f ca="1">'Modello P-C SJF'!$H72</f>
        <v>1.9812820124167139</v>
      </c>
      <c r="I72">
        <f t="shared" ca="1" si="18"/>
        <v>75.142788469674926</v>
      </c>
      <c r="K72" s="2" t="s">
        <v>136</v>
      </c>
      <c r="O72">
        <f t="shared" ca="1" si="12"/>
        <v>7.0519417487125082</v>
      </c>
      <c r="P72">
        <f t="shared" ca="1" si="13"/>
        <v>5.0706600000000002</v>
      </c>
      <c r="Q72">
        <f t="shared" ca="1" si="19"/>
        <v>5.0706597362958306</v>
      </c>
      <c r="S72">
        <f t="shared" ca="1" si="14"/>
        <v>64</v>
      </c>
      <c r="T72">
        <f t="shared" ca="1" si="15"/>
        <v>55</v>
      </c>
      <c r="U72">
        <f t="shared" ca="1" si="16"/>
        <v>9</v>
      </c>
    </row>
    <row r="73" spans="1:21" x14ac:dyDescent="0.3">
      <c r="A73">
        <f t="shared" si="17"/>
        <v>65</v>
      </c>
      <c r="B73" t="s">
        <v>135</v>
      </c>
      <c r="C73">
        <f ca="1">'Modello P-C SJF'!$C73</f>
        <v>0.7740884488246188</v>
      </c>
      <c r="D73">
        <f ca="1">'Modello P-C SJF'!$D73</f>
        <v>0.25606913695408884</v>
      </c>
      <c r="E73">
        <f ca="1">'Modello P-C SJF'!$E73</f>
        <v>68.3469158579165</v>
      </c>
      <c r="G73">
        <f ca="1">'Modello P-C SJF'!$G73</f>
        <v>0.83102216493403036</v>
      </c>
      <c r="H73">
        <f ca="1">'Modello P-C SJF'!$H73</f>
        <v>0.23388897604770048</v>
      </c>
      <c r="I73">
        <f t="shared" ca="1" si="18"/>
        <v>75.376677445722621</v>
      </c>
      <c r="K73" s="2" t="s">
        <v>135</v>
      </c>
      <c r="O73">
        <f t="shared" ref="O73:O104" ca="1" si="20">$I73-$E73</f>
        <v>7.0297615878061208</v>
      </c>
      <c r="P73">
        <f t="shared" ref="P73:P104" ca="1" si="21">MAX(0, ROUND($O73-$H73, 6))</f>
        <v>6.7958730000000003</v>
      </c>
      <c r="Q73">
        <f t="shared" ca="1" si="19"/>
        <v>6.7958726117584556</v>
      </c>
      <c r="S73">
        <f t="shared" ref="S73:S104" ca="1" si="22">COUNTIF($E$9:$E$208, "&lt;=" &amp;$E73)</f>
        <v>65</v>
      </c>
      <c r="T73">
        <f t="shared" ref="T73:T104" ca="1" si="23">COUNTIF($I$9:$I$208, "&lt;=" &amp;$E73)</f>
        <v>56</v>
      </c>
      <c r="U73">
        <f t="shared" ref="U73:U104" ca="1" si="24">$S73-$T73</f>
        <v>9</v>
      </c>
    </row>
    <row r="74" spans="1:21" x14ac:dyDescent="0.3">
      <c r="A74">
        <f t="shared" ref="A74:A105" si="25">$A73 + 1</f>
        <v>66</v>
      </c>
      <c r="B74" t="s">
        <v>134</v>
      </c>
      <c r="C74">
        <f ca="1">'Modello P-C SJF'!$C74</f>
        <v>0.97224033766024165</v>
      </c>
      <c r="D74">
        <f ca="1">'Modello P-C SJF'!$D74</f>
        <v>2.8152244118326081E-2</v>
      </c>
      <c r="E74">
        <f ca="1">'Modello P-C SJF'!$E74</f>
        <v>68.375068102034831</v>
      </c>
      <c r="G74">
        <f ca="1">'Modello P-C SJF'!$G74</f>
        <v>0.8013844981924193</v>
      </c>
      <c r="H74">
        <f ca="1">'Modello P-C SJF'!$H74</f>
        <v>0.27020458854512203</v>
      </c>
      <c r="I74">
        <f t="shared" ref="I74:I105" ca="1" si="26">MAX($E74+$H74, $H74+$I73)</f>
        <v>75.646882034267747</v>
      </c>
      <c r="K74" s="2" t="s">
        <v>134</v>
      </c>
      <c r="O74">
        <f t="shared" ca="1" si="20"/>
        <v>7.2718139322329165</v>
      </c>
      <c r="P74">
        <f t="shared" ca="1" si="21"/>
        <v>7.0016090000000002</v>
      </c>
      <c r="Q74">
        <f t="shared" ref="Q74:Q105" ca="1" si="27">MAX(0,$Q73+$H73-$D74)</f>
        <v>7.0016093436878304</v>
      </c>
      <c r="S74">
        <f t="shared" ca="1" si="22"/>
        <v>66</v>
      </c>
      <c r="T74">
        <f t="shared" ca="1" si="23"/>
        <v>56</v>
      </c>
      <c r="U74">
        <f t="shared" ca="1" si="24"/>
        <v>10</v>
      </c>
    </row>
    <row r="75" spans="1:21" x14ac:dyDescent="0.3">
      <c r="A75">
        <f t="shared" si="25"/>
        <v>67</v>
      </c>
      <c r="B75" t="s">
        <v>133</v>
      </c>
      <c r="C75">
        <f ca="1">'Modello P-C SJF'!$C75</f>
        <v>0.8883225679763761</v>
      </c>
      <c r="D75">
        <f ca="1">'Modello P-C SJF'!$D75</f>
        <v>0.11842034972443499</v>
      </c>
      <c r="E75">
        <f ca="1">'Modello P-C SJF'!$E75</f>
        <v>68.493488451759262</v>
      </c>
      <c r="G75">
        <f ca="1">'Modello P-C SJF'!$G75</f>
        <v>0.34204861450168433</v>
      </c>
      <c r="H75">
        <f ca="1">'Modello P-C SJF'!$H75</f>
        <v>1.1215925685252424</v>
      </c>
      <c r="I75">
        <f t="shared" ca="1" si="26"/>
        <v>76.768474602792992</v>
      </c>
      <c r="K75" s="2" t="s">
        <v>133</v>
      </c>
      <c r="O75">
        <f t="shared" ca="1" si="20"/>
        <v>8.2749861510337297</v>
      </c>
      <c r="P75">
        <f t="shared" ca="1" si="21"/>
        <v>7.1533939999999996</v>
      </c>
      <c r="Q75">
        <f t="shared" ca="1" si="27"/>
        <v>7.1533935825085173</v>
      </c>
      <c r="S75">
        <f t="shared" ca="1" si="22"/>
        <v>67</v>
      </c>
      <c r="T75">
        <f t="shared" ca="1" si="23"/>
        <v>56</v>
      </c>
      <c r="U75">
        <f t="shared" ca="1" si="24"/>
        <v>11</v>
      </c>
    </row>
    <row r="76" spans="1:21" x14ac:dyDescent="0.3">
      <c r="A76">
        <f t="shared" si="25"/>
        <v>68</v>
      </c>
      <c r="B76" t="s">
        <v>132</v>
      </c>
      <c r="C76">
        <f ca="1">'Modello P-C SJF'!$C76</f>
        <v>0.70588216518044389</v>
      </c>
      <c r="D76">
        <f ca="1">'Modello P-C SJF'!$D76</f>
        <v>0.34830696026262231</v>
      </c>
      <c r="E76">
        <f ca="1">'Modello P-C SJF'!$E76</f>
        <v>68.841795412021881</v>
      </c>
      <c r="G76">
        <f ca="1">'Modello P-C SJF'!$G76</f>
        <v>0.85768411518186716</v>
      </c>
      <c r="H76">
        <f ca="1">'Modello P-C SJF'!$H76</f>
        <v>0.20230957557635465</v>
      </c>
      <c r="I76">
        <f t="shared" ca="1" si="26"/>
        <v>76.970784178369342</v>
      </c>
      <c r="K76" s="2" t="s">
        <v>132</v>
      </c>
      <c r="O76">
        <f t="shared" ca="1" si="20"/>
        <v>8.1289887663474616</v>
      </c>
      <c r="P76">
        <f t="shared" ca="1" si="21"/>
        <v>7.926679</v>
      </c>
      <c r="Q76">
        <f t="shared" ca="1" si="27"/>
        <v>7.9266791907711376</v>
      </c>
      <c r="S76">
        <f t="shared" ca="1" si="22"/>
        <v>68</v>
      </c>
      <c r="T76">
        <f t="shared" ca="1" si="23"/>
        <v>56</v>
      </c>
      <c r="U76">
        <f t="shared" ca="1" si="24"/>
        <v>12</v>
      </c>
    </row>
    <row r="77" spans="1:21" x14ac:dyDescent="0.3">
      <c r="A77">
        <f t="shared" si="25"/>
        <v>69</v>
      </c>
      <c r="B77" t="s">
        <v>131</v>
      </c>
      <c r="C77">
        <f ca="1">'Modello P-C SJF'!$C77</f>
        <v>0.40087393065126198</v>
      </c>
      <c r="D77">
        <f ca="1">'Modello P-C SJF'!$D77</f>
        <v>0.91410828850898462</v>
      </c>
      <c r="E77">
        <f ca="1">'Modello P-C SJF'!$E77</f>
        <v>69.755903700530865</v>
      </c>
      <c r="G77">
        <f ca="1">'Modello P-C SJF'!$G77</f>
        <v>0.84545739079278814</v>
      </c>
      <c r="H77">
        <f ca="1">'Modello P-C SJF'!$H77</f>
        <v>0.21666767136042006</v>
      </c>
      <c r="I77">
        <f t="shared" ca="1" si="26"/>
        <v>77.187451849729769</v>
      </c>
      <c r="K77" s="2" t="s">
        <v>131</v>
      </c>
      <c r="O77">
        <f t="shared" ca="1" si="20"/>
        <v>7.4315481491989033</v>
      </c>
      <c r="P77">
        <f t="shared" ca="1" si="21"/>
        <v>7.21488</v>
      </c>
      <c r="Q77">
        <f t="shared" ca="1" si="27"/>
        <v>7.2148804778385074</v>
      </c>
      <c r="S77">
        <f t="shared" ca="1" si="22"/>
        <v>69</v>
      </c>
      <c r="T77">
        <f t="shared" ca="1" si="23"/>
        <v>57</v>
      </c>
      <c r="U77">
        <f t="shared" ca="1" si="24"/>
        <v>12</v>
      </c>
    </row>
    <row r="78" spans="1:21" x14ac:dyDescent="0.3">
      <c r="A78">
        <f t="shared" si="25"/>
        <v>70</v>
      </c>
      <c r="B78" t="s">
        <v>130</v>
      </c>
      <c r="C78">
        <f ca="1">'Modello P-C SJF'!$C78</f>
        <v>0.31194938808619044</v>
      </c>
      <c r="D78">
        <f ca="1">'Modello P-C SJF'!$D78</f>
        <v>1.1649143220038309</v>
      </c>
      <c r="E78">
        <f ca="1">'Modello P-C SJF'!$E78</f>
        <v>70.920818022534689</v>
      </c>
      <c r="G78">
        <f ca="1">'Modello P-C SJF'!$G78</f>
        <v>0.50157493232853778</v>
      </c>
      <c r="H78">
        <f ca="1">'Modello P-C SJF'!$H78</f>
        <v>0.7387924305032465</v>
      </c>
      <c r="I78">
        <f t="shared" ca="1" si="26"/>
        <v>77.926244280233021</v>
      </c>
      <c r="K78" s="2" t="s">
        <v>130</v>
      </c>
      <c r="O78">
        <f t="shared" ca="1" si="20"/>
        <v>7.0054262576983319</v>
      </c>
      <c r="P78">
        <f t="shared" ca="1" si="21"/>
        <v>6.2666339999999998</v>
      </c>
      <c r="Q78">
        <f t="shared" ca="1" si="27"/>
        <v>6.2666338271950961</v>
      </c>
      <c r="S78">
        <f t="shared" ca="1" si="22"/>
        <v>70</v>
      </c>
      <c r="T78">
        <f t="shared" ca="1" si="23"/>
        <v>58</v>
      </c>
      <c r="U78">
        <f t="shared" ca="1" si="24"/>
        <v>12</v>
      </c>
    </row>
    <row r="79" spans="1:21" x14ac:dyDescent="0.3">
      <c r="A79">
        <f t="shared" si="25"/>
        <v>71</v>
      </c>
      <c r="B79" t="s">
        <v>129</v>
      </c>
      <c r="C79">
        <f ca="1">'Modello P-C SJF'!$C79</f>
        <v>0.28349392318207345</v>
      </c>
      <c r="D79">
        <f ca="1">'Modello P-C SJF'!$D79</f>
        <v>1.2605645910279308</v>
      </c>
      <c r="E79">
        <f ca="1">'Modello P-C SJF'!$E79</f>
        <v>72.181382613562619</v>
      </c>
      <c r="G79">
        <f ca="1">'Modello P-C SJF'!$G79</f>
        <v>0.59277718153714032</v>
      </c>
      <c r="H79">
        <f ca="1">'Modello P-C SJF'!$H79</f>
        <v>0.57172686259419081</v>
      </c>
      <c r="I79">
        <f t="shared" ca="1" si="26"/>
        <v>78.497971142827211</v>
      </c>
      <c r="K79" s="2" t="s">
        <v>129</v>
      </c>
      <c r="O79">
        <f t="shared" ca="1" si="20"/>
        <v>6.3165885292645925</v>
      </c>
      <c r="P79">
        <f t="shared" ca="1" si="21"/>
        <v>5.7448620000000004</v>
      </c>
      <c r="Q79">
        <f t="shared" ca="1" si="27"/>
        <v>5.7448616666704115</v>
      </c>
      <c r="S79">
        <f t="shared" ca="1" si="22"/>
        <v>71</v>
      </c>
      <c r="T79">
        <f t="shared" ca="1" si="23"/>
        <v>61</v>
      </c>
      <c r="U79">
        <f t="shared" ca="1" si="24"/>
        <v>10</v>
      </c>
    </row>
    <row r="80" spans="1:21" x14ac:dyDescent="0.3">
      <c r="A80">
        <f t="shared" si="25"/>
        <v>72</v>
      </c>
      <c r="B80" t="s">
        <v>128</v>
      </c>
      <c r="C80">
        <f ca="1">'Modello P-C SJF'!$C80</f>
        <v>9.0014171788399655E-2</v>
      </c>
      <c r="D80">
        <f ca="1">'Modello P-C SJF'!$D80</f>
        <v>2.4077881567325243</v>
      </c>
      <c r="E80">
        <f ca="1">'Modello P-C SJF'!$E80</f>
        <v>74.589170770295141</v>
      </c>
      <c r="G80">
        <f ca="1">'Modello P-C SJF'!$G80</f>
        <v>0.10394175587134491</v>
      </c>
      <c r="H80">
        <f ca="1">'Modello P-C SJF'!$H80</f>
        <v>2.3127147405896107</v>
      </c>
      <c r="I80">
        <f t="shared" ca="1" si="26"/>
        <v>80.810685883416824</v>
      </c>
      <c r="K80" s="2" t="s">
        <v>128</v>
      </c>
      <c r="O80">
        <f t="shared" ca="1" si="20"/>
        <v>6.2215151131216828</v>
      </c>
      <c r="P80">
        <f t="shared" ca="1" si="21"/>
        <v>3.9087999999999998</v>
      </c>
      <c r="Q80">
        <f t="shared" ca="1" si="27"/>
        <v>3.9088003725320779</v>
      </c>
      <c r="S80">
        <f t="shared" ca="1" si="22"/>
        <v>72</v>
      </c>
      <c r="T80">
        <f t="shared" ca="1" si="23"/>
        <v>63</v>
      </c>
      <c r="U80">
        <f t="shared" ca="1" si="24"/>
        <v>9</v>
      </c>
    </row>
    <row r="81" spans="1:21" x14ac:dyDescent="0.3">
      <c r="A81">
        <f t="shared" si="25"/>
        <v>73</v>
      </c>
      <c r="B81" t="s">
        <v>127</v>
      </c>
      <c r="C81">
        <f ca="1">'Modello P-C SJF'!$C81</f>
        <v>0.4485767286268183</v>
      </c>
      <c r="D81">
        <f ca="1">'Modello P-C SJF'!$D81</f>
        <v>0.80167553379484824</v>
      </c>
      <c r="E81">
        <f ca="1">'Modello P-C SJF'!$E81</f>
        <v>75.39084630408999</v>
      </c>
      <c r="G81">
        <f ca="1">'Modello P-C SJF'!$G81</f>
        <v>0.43636027040461933</v>
      </c>
      <c r="H81">
        <f ca="1">'Modello P-C SJF'!$H81</f>
        <v>0.87807723273978844</v>
      </c>
      <c r="I81">
        <f t="shared" ca="1" si="26"/>
        <v>81.688763116156608</v>
      </c>
      <c r="K81" s="2" t="s">
        <v>127</v>
      </c>
      <c r="O81">
        <f t="shared" ca="1" si="20"/>
        <v>6.2979168120666174</v>
      </c>
      <c r="P81">
        <f t="shared" ca="1" si="21"/>
        <v>5.4198399999999998</v>
      </c>
      <c r="Q81">
        <f t="shared" ca="1" si="27"/>
        <v>5.4198395793268404</v>
      </c>
      <c r="S81">
        <f t="shared" ca="1" si="22"/>
        <v>73</v>
      </c>
      <c r="T81">
        <f t="shared" ca="1" si="23"/>
        <v>65</v>
      </c>
      <c r="U81">
        <f t="shared" ca="1" si="24"/>
        <v>8</v>
      </c>
    </row>
    <row r="82" spans="1:21" x14ac:dyDescent="0.3">
      <c r="A82">
        <f t="shared" si="25"/>
        <v>74</v>
      </c>
      <c r="B82" t="s">
        <v>126</v>
      </c>
      <c r="C82">
        <f ca="1">'Modello P-C SJF'!$C82</f>
        <v>0.81023636970479518</v>
      </c>
      <c r="D82">
        <f ca="1">'Modello P-C SJF'!$D82</f>
        <v>0.2104292594348435</v>
      </c>
      <c r="E82">
        <f ca="1">'Modello P-C SJF'!$E82</f>
        <v>75.601275563524837</v>
      </c>
      <c r="G82">
        <f ca="1">'Modello P-C SJF'!$G82</f>
        <v>0.25175329497486099</v>
      </c>
      <c r="H82">
        <f ca="1">'Modello P-C SJF'!$H82</f>
        <v>1.4280958233570746</v>
      </c>
      <c r="I82">
        <f t="shared" ca="1" si="26"/>
        <v>83.116858939513676</v>
      </c>
      <c r="K82" s="2" t="s">
        <v>126</v>
      </c>
      <c r="O82">
        <f t="shared" ca="1" si="20"/>
        <v>7.5155833759888395</v>
      </c>
      <c r="P82">
        <f t="shared" ca="1" si="21"/>
        <v>6.0874879999999996</v>
      </c>
      <c r="Q82">
        <f t="shared" ca="1" si="27"/>
        <v>6.0874875526317851</v>
      </c>
      <c r="S82">
        <f t="shared" ca="1" si="22"/>
        <v>74</v>
      </c>
      <c r="T82">
        <f t="shared" ca="1" si="23"/>
        <v>65</v>
      </c>
      <c r="U82">
        <f t="shared" ca="1" si="24"/>
        <v>9</v>
      </c>
    </row>
    <row r="83" spans="1:21" x14ac:dyDescent="0.3">
      <c r="A83">
        <f t="shared" si="25"/>
        <v>75</v>
      </c>
      <c r="B83" t="s">
        <v>125</v>
      </c>
      <c r="C83">
        <f ca="1">'Modello P-C SJF'!$C83</f>
        <v>0.36011599088524249</v>
      </c>
      <c r="D83">
        <f ca="1">'Modello P-C SJF'!$D83</f>
        <v>1.0213291025228057</v>
      </c>
      <c r="E83">
        <f ca="1">'Modello P-C SJF'!$E83</f>
        <v>76.622604666047636</v>
      </c>
      <c r="G83">
        <f ca="1">'Modello P-C SJF'!$G83</f>
        <v>0.95703329549367733</v>
      </c>
      <c r="H83">
        <f ca="1">'Modello P-C SJF'!$H83</f>
        <v>9.270726077438271E-2</v>
      </c>
      <c r="I83">
        <f t="shared" ca="1" si="26"/>
        <v>83.209566200288066</v>
      </c>
      <c r="K83" s="2" t="s">
        <v>125</v>
      </c>
      <c r="O83">
        <f t="shared" ca="1" si="20"/>
        <v>6.5869615342404302</v>
      </c>
      <c r="P83">
        <f t="shared" ca="1" si="21"/>
        <v>6.4942539999999997</v>
      </c>
      <c r="Q83">
        <f t="shared" ca="1" si="27"/>
        <v>6.494254273466054</v>
      </c>
      <c r="S83">
        <f t="shared" ca="1" si="22"/>
        <v>75</v>
      </c>
      <c r="T83">
        <f t="shared" ca="1" si="23"/>
        <v>66</v>
      </c>
      <c r="U83">
        <f t="shared" ca="1" si="24"/>
        <v>9</v>
      </c>
    </row>
    <row r="84" spans="1:21" x14ac:dyDescent="0.3">
      <c r="A84">
        <f t="shared" si="25"/>
        <v>76</v>
      </c>
      <c r="B84" t="s">
        <v>124</v>
      </c>
      <c r="C84">
        <f ca="1">'Modello P-C SJF'!$C84</f>
        <v>1.2903319331954655E-2</v>
      </c>
      <c r="D84">
        <f ca="1">'Modello P-C SJF'!$D84</f>
        <v>4.3502706881590836</v>
      </c>
      <c r="E84">
        <f ca="1">'Modello P-C SJF'!$E84</f>
        <v>80.972875354206721</v>
      </c>
      <c r="G84">
        <f ca="1">'Modello P-C SJF'!$G84</f>
        <v>0.24003566327033488</v>
      </c>
      <c r="H84">
        <f ca="1">'Modello P-C SJF'!$H84</f>
        <v>1.4757579338892839</v>
      </c>
      <c r="I84">
        <f t="shared" ca="1" si="26"/>
        <v>84.68532413417735</v>
      </c>
      <c r="K84" s="2" t="s">
        <v>124</v>
      </c>
      <c r="O84">
        <f t="shared" ca="1" si="20"/>
        <v>3.7124487799706287</v>
      </c>
      <c r="P84">
        <f t="shared" ca="1" si="21"/>
        <v>2.236691</v>
      </c>
      <c r="Q84">
        <f t="shared" ca="1" si="27"/>
        <v>2.2366908460813528</v>
      </c>
      <c r="S84">
        <f t="shared" ca="1" si="22"/>
        <v>76</v>
      </c>
      <c r="T84">
        <f t="shared" ca="1" si="23"/>
        <v>72</v>
      </c>
      <c r="U84">
        <f t="shared" ca="1" si="24"/>
        <v>4</v>
      </c>
    </row>
    <row r="85" spans="1:21" x14ac:dyDescent="0.3">
      <c r="A85">
        <f t="shared" si="25"/>
        <v>77</v>
      </c>
      <c r="B85" t="s">
        <v>123</v>
      </c>
      <c r="C85">
        <f ca="1">'Modello P-C SJF'!$C85</f>
        <v>0.29399384013917595</v>
      </c>
      <c r="D85">
        <f ca="1">'Modello P-C SJF'!$D85</f>
        <v>1.2241964637705145</v>
      </c>
      <c r="E85">
        <f ca="1">'Modello P-C SJF'!$E85</f>
        <v>82.197071817977232</v>
      </c>
      <c r="G85">
        <f ca="1">'Modello P-C SJF'!$G85</f>
        <v>0.63624439905787888</v>
      </c>
      <c r="H85">
        <f ca="1">'Modello P-C SJF'!$H85</f>
        <v>0.50096267837803343</v>
      </c>
      <c r="I85">
        <f t="shared" ca="1" si="26"/>
        <v>85.18628681255538</v>
      </c>
      <c r="K85" s="2" t="s">
        <v>123</v>
      </c>
      <c r="O85">
        <f t="shared" ca="1" si="20"/>
        <v>2.9892149945781483</v>
      </c>
      <c r="P85">
        <f t="shared" ca="1" si="21"/>
        <v>2.4882520000000001</v>
      </c>
      <c r="Q85">
        <f t="shared" ca="1" si="27"/>
        <v>2.4882523162001222</v>
      </c>
      <c r="S85">
        <f t="shared" ca="1" si="22"/>
        <v>77</v>
      </c>
      <c r="T85">
        <f t="shared" ca="1" si="23"/>
        <v>73</v>
      </c>
      <c r="U85">
        <f t="shared" ca="1" si="24"/>
        <v>4</v>
      </c>
    </row>
    <row r="86" spans="1:21" x14ac:dyDescent="0.3">
      <c r="A86">
        <f t="shared" si="25"/>
        <v>78</v>
      </c>
      <c r="B86" t="s">
        <v>122</v>
      </c>
      <c r="C86">
        <f ca="1">'Modello P-C SJF'!$C86</f>
        <v>0.87545515294970278</v>
      </c>
      <c r="D86">
        <f ca="1">'Modello P-C SJF'!$D86</f>
        <v>0.1330113530688751</v>
      </c>
      <c r="E86">
        <f ca="1">'Modello P-C SJF'!$E86</f>
        <v>82.330083171046113</v>
      </c>
      <c r="G86">
        <f ca="1">'Modello P-C SJF'!$G86</f>
        <v>0.70649644820814428</v>
      </c>
      <c r="H86">
        <f ca="1">'Modello P-C SJF'!$H86</f>
        <v>0.39622726834585992</v>
      </c>
      <c r="I86">
        <f t="shared" ca="1" si="26"/>
        <v>85.582514080901234</v>
      </c>
      <c r="K86" s="2" t="s">
        <v>122</v>
      </c>
      <c r="O86">
        <f t="shared" ca="1" si="20"/>
        <v>3.2524309098551214</v>
      </c>
      <c r="P86">
        <f t="shared" ca="1" si="21"/>
        <v>2.856204</v>
      </c>
      <c r="Q86">
        <f t="shared" ca="1" si="27"/>
        <v>2.8562036415092802</v>
      </c>
      <c r="S86">
        <f t="shared" ca="1" si="22"/>
        <v>78</v>
      </c>
      <c r="T86">
        <f t="shared" ca="1" si="23"/>
        <v>73</v>
      </c>
      <c r="U86">
        <f t="shared" ca="1" si="24"/>
        <v>5</v>
      </c>
    </row>
    <row r="87" spans="1:21" x14ac:dyDescent="0.3">
      <c r="A87">
        <f t="shared" si="25"/>
        <v>79</v>
      </c>
      <c r="B87" t="s">
        <v>121</v>
      </c>
      <c r="C87">
        <f ca="1">'Modello P-C SJF'!$C87</f>
        <v>0.17941317478219432</v>
      </c>
      <c r="D87">
        <f ca="1">'Modello P-C SJF'!$D87</f>
        <v>1.7180638940260422</v>
      </c>
      <c r="E87">
        <f ca="1">'Modello P-C SJF'!$E87</f>
        <v>84.048147065072158</v>
      </c>
      <c r="G87">
        <f ca="1">'Modello P-C SJF'!$G87</f>
        <v>0.33401544053740173</v>
      </c>
      <c r="H87">
        <f ca="1">'Modello P-C SJF'!$H87</f>
        <v>1.1453582220895058</v>
      </c>
      <c r="I87">
        <f t="shared" ca="1" si="26"/>
        <v>86.727872302990733</v>
      </c>
      <c r="K87" s="2" t="s">
        <v>121</v>
      </c>
      <c r="O87">
        <f t="shared" ca="1" si="20"/>
        <v>2.679725237918575</v>
      </c>
      <c r="P87">
        <f t="shared" ca="1" si="21"/>
        <v>1.534367</v>
      </c>
      <c r="Q87">
        <f t="shared" ca="1" si="27"/>
        <v>1.5343670158290978</v>
      </c>
      <c r="S87">
        <f t="shared" ca="1" si="22"/>
        <v>79</v>
      </c>
      <c r="T87">
        <f t="shared" ca="1" si="23"/>
        <v>75</v>
      </c>
      <c r="U87">
        <f t="shared" ca="1" si="24"/>
        <v>4</v>
      </c>
    </row>
    <row r="88" spans="1:21" x14ac:dyDescent="0.3">
      <c r="A88">
        <f t="shared" si="25"/>
        <v>80</v>
      </c>
      <c r="B88" t="s">
        <v>120</v>
      </c>
      <c r="C88">
        <f ca="1">'Modello P-C SJF'!$C88</f>
        <v>0.29103309707052627</v>
      </c>
      <c r="D88">
        <f ca="1">'Modello P-C SJF'!$D88</f>
        <v>1.2343182826405044</v>
      </c>
      <c r="E88">
        <f ca="1">'Modello P-C SJF'!$E88</f>
        <v>85.282465347712659</v>
      </c>
      <c r="G88">
        <f ca="1">'Modello P-C SJF'!$G88</f>
        <v>0.34347763149751587</v>
      </c>
      <c r="H88">
        <f ca="1">'Modello P-C SJF'!$H88</f>
        <v>1.1174234529762892</v>
      </c>
      <c r="I88">
        <f t="shared" ca="1" si="26"/>
        <v>87.845295755967015</v>
      </c>
      <c r="K88" s="2" t="s">
        <v>120</v>
      </c>
      <c r="O88">
        <f t="shared" ca="1" si="20"/>
        <v>2.5628304082543565</v>
      </c>
      <c r="P88">
        <f t="shared" ca="1" si="21"/>
        <v>1.4454070000000001</v>
      </c>
      <c r="Q88">
        <f t="shared" ca="1" si="27"/>
        <v>1.445406955278099</v>
      </c>
      <c r="S88">
        <f t="shared" ca="1" si="22"/>
        <v>80</v>
      </c>
      <c r="T88">
        <f t="shared" ca="1" si="23"/>
        <v>77</v>
      </c>
      <c r="U88">
        <f t="shared" ca="1" si="24"/>
        <v>3</v>
      </c>
    </row>
    <row r="89" spans="1:21" x14ac:dyDescent="0.3">
      <c r="A89">
        <f t="shared" si="25"/>
        <v>81</v>
      </c>
      <c r="B89" t="s">
        <v>119</v>
      </c>
      <c r="C89">
        <f ca="1">'Modello P-C SJF'!$C89</f>
        <v>0.76059105843118147</v>
      </c>
      <c r="D89">
        <f ca="1">'Modello P-C SJF'!$D89</f>
        <v>0.27365943949820287</v>
      </c>
      <c r="E89">
        <f ca="1">'Modello P-C SJF'!$E89</f>
        <v>85.556124787210862</v>
      </c>
      <c r="G89">
        <f ca="1">'Modello P-C SJF'!$G89</f>
        <v>0.99019074966389664</v>
      </c>
      <c r="H89">
        <f ca="1">'Modello P-C SJF'!$H89</f>
        <v>5.8647842154474036E-2</v>
      </c>
      <c r="I89">
        <f t="shared" ca="1" si="26"/>
        <v>87.903943598121487</v>
      </c>
      <c r="K89" s="2" t="s">
        <v>119</v>
      </c>
      <c r="O89">
        <f t="shared" ca="1" si="20"/>
        <v>2.3478188109106242</v>
      </c>
      <c r="P89">
        <f t="shared" ca="1" si="21"/>
        <v>2.2891710000000001</v>
      </c>
      <c r="Q89">
        <f t="shared" ca="1" si="27"/>
        <v>2.2891709687561854</v>
      </c>
      <c r="S89">
        <f t="shared" ca="1" si="22"/>
        <v>81</v>
      </c>
      <c r="T89">
        <f t="shared" ca="1" si="23"/>
        <v>77</v>
      </c>
      <c r="U89">
        <f t="shared" ca="1" si="24"/>
        <v>4</v>
      </c>
    </row>
    <row r="90" spans="1:21" x14ac:dyDescent="0.3">
      <c r="A90">
        <f t="shared" si="25"/>
        <v>82</v>
      </c>
      <c r="B90" t="s">
        <v>118</v>
      </c>
      <c r="C90">
        <f ca="1">'Modello P-C SJF'!$C90</f>
        <v>0.33029174556012642</v>
      </c>
      <c r="D90">
        <f ca="1">'Modello P-C SJF'!$D90</f>
        <v>1.1077789376329787</v>
      </c>
      <c r="E90">
        <f ca="1">'Modello P-C SJF'!$E90</f>
        <v>86.663903724843834</v>
      </c>
      <c r="G90">
        <f ca="1">'Modello P-C SJF'!$G90</f>
        <v>0.76053393632790733</v>
      </c>
      <c r="H90">
        <f ca="1">'Modello P-C SJF'!$H90</f>
        <v>0.32252470874249445</v>
      </c>
      <c r="I90">
        <f t="shared" ca="1" si="26"/>
        <v>88.226468306863978</v>
      </c>
      <c r="K90" s="2" t="s">
        <v>118</v>
      </c>
      <c r="O90">
        <f t="shared" ca="1" si="20"/>
        <v>1.5625645820201441</v>
      </c>
      <c r="P90">
        <f t="shared" ca="1" si="21"/>
        <v>1.24004</v>
      </c>
      <c r="Q90">
        <f t="shared" ca="1" si="27"/>
        <v>1.2400398732776805</v>
      </c>
      <c r="S90">
        <f t="shared" ca="1" si="22"/>
        <v>82</v>
      </c>
      <c r="T90">
        <f t="shared" ca="1" si="23"/>
        <v>78</v>
      </c>
      <c r="U90">
        <f t="shared" ca="1" si="24"/>
        <v>4</v>
      </c>
    </row>
    <row r="91" spans="1:21" x14ac:dyDescent="0.3">
      <c r="A91">
        <f t="shared" si="25"/>
        <v>83</v>
      </c>
      <c r="B91" t="s">
        <v>117</v>
      </c>
      <c r="C91">
        <f ca="1">'Modello P-C SJF'!$C91</f>
        <v>0.69010241532253347</v>
      </c>
      <c r="D91">
        <f ca="1">'Modello P-C SJF'!$D91</f>
        <v>0.37091526440150657</v>
      </c>
      <c r="E91">
        <f ca="1">'Modello P-C SJF'!$E91</f>
        <v>87.034818989245338</v>
      </c>
      <c r="G91">
        <f ca="1">'Modello P-C SJF'!$G91</f>
        <v>0.13464777769057124</v>
      </c>
      <c r="H91">
        <f ca="1">'Modello P-C SJF'!$H91</f>
        <v>2.0538831283705141</v>
      </c>
      <c r="I91">
        <f t="shared" ca="1" si="26"/>
        <v>90.280351435234493</v>
      </c>
      <c r="K91" s="2" t="s">
        <v>117</v>
      </c>
      <c r="O91">
        <f t="shared" ca="1" si="20"/>
        <v>3.2455324459891557</v>
      </c>
      <c r="P91">
        <f t="shared" ca="1" si="21"/>
        <v>1.191649</v>
      </c>
      <c r="Q91">
        <f t="shared" ca="1" si="27"/>
        <v>1.1916493176186684</v>
      </c>
      <c r="S91">
        <f t="shared" ca="1" si="22"/>
        <v>83</v>
      </c>
      <c r="T91">
        <f t="shared" ca="1" si="23"/>
        <v>79</v>
      </c>
      <c r="U91">
        <f t="shared" ca="1" si="24"/>
        <v>4</v>
      </c>
    </row>
    <row r="92" spans="1:21" x14ac:dyDescent="0.3">
      <c r="A92">
        <f t="shared" si="25"/>
        <v>84</v>
      </c>
      <c r="B92" t="s">
        <v>116</v>
      </c>
      <c r="C92">
        <f ca="1">'Modello P-C SJF'!$C92</f>
        <v>0.2776348302900451</v>
      </c>
      <c r="D92">
        <f ca="1">'Modello P-C SJF'!$D92</f>
        <v>1.2814485888755647</v>
      </c>
      <c r="E92">
        <f ca="1">'Modello P-C SJF'!$E92</f>
        <v>88.3162675781209</v>
      </c>
      <c r="G92">
        <f ca="1">'Modello P-C SJF'!$G92</f>
        <v>0.88310540027080442</v>
      </c>
      <c r="H92">
        <f ca="1">'Modello P-C SJF'!$H92</f>
        <v>0.17310088356607456</v>
      </c>
      <c r="I92">
        <f t="shared" ca="1" si="26"/>
        <v>90.453452318800572</v>
      </c>
      <c r="K92" s="2" t="s">
        <v>116</v>
      </c>
      <c r="O92">
        <f t="shared" ca="1" si="20"/>
        <v>2.1371847406796718</v>
      </c>
      <c r="P92">
        <f t="shared" ca="1" si="21"/>
        <v>1.9640839999999999</v>
      </c>
      <c r="Q92">
        <f t="shared" ca="1" si="27"/>
        <v>1.9640838571136177</v>
      </c>
      <c r="S92">
        <f t="shared" ca="1" si="22"/>
        <v>84</v>
      </c>
      <c r="T92">
        <f t="shared" ca="1" si="23"/>
        <v>82</v>
      </c>
      <c r="U92">
        <f t="shared" ca="1" si="24"/>
        <v>2</v>
      </c>
    </row>
    <row r="93" spans="1:21" x14ac:dyDescent="0.3">
      <c r="A93">
        <f t="shared" si="25"/>
        <v>85</v>
      </c>
      <c r="B93" t="s">
        <v>115</v>
      </c>
      <c r="C93">
        <f ca="1">'Modello P-C SJF'!$C93</f>
        <v>0.80338036950912051</v>
      </c>
      <c r="D93">
        <f ca="1">'Modello P-C SJF'!$D93</f>
        <v>0.21892699162343734</v>
      </c>
      <c r="E93">
        <f ca="1">'Modello P-C SJF'!$E93</f>
        <v>88.535194569744334</v>
      </c>
      <c r="G93">
        <f ca="1">'Modello P-C SJF'!$G93</f>
        <v>0.51751494383638563</v>
      </c>
      <c r="H93">
        <f ca="1">'Modello P-C SJF'!$H93</f>
        <v>0.70750704145045384</v>
      </c>
      <c r="I93">
        <f t="shared" ca="1" si="26"/>
        <v>91.160959360251027</v>
      </c>
      <c r="K93" s="2" t="s">
        <v>115</v>
      </c>
      <c r="O93">
        <f t="shared" ca="1" si="20"/>
        <v>2.6257647905066932</v>
      </c>
      <c r="P93">
        <f t="shared" ca="1" si="21"/>
        <v>1.918258</v>
      </c>
      <c r="Q93">
        <f t="shared" ca="1" si="27"/>
        <v>1.9182577490562549</v>
      </c>
      <c r="S93">
        <f t="shared" ca="1" si="22"/>
        <v>85</v>
      </c>
      <c r="T93">
        <f t="shared" ca="1" si="23"/>
        <v>82</v>
      </c>
      <c r="U93">
        <f t="shared" ca="1" si="24"/>
        <v>3</v>
      </c>
    </row>
    <row r="94" spans="1:21" x14ac:dyDescent="0.3">
      <c r="A94">
        <f t="shared" si="25"/>
        <v>86</v>
      </c>
      <c r="B94" t="s">
        <v>114</v>
      </c>
      <c r="C94">
        <f ca="1">'Modello P-C SJF'!$C94</f>
        <v>7.9809619972459944E-2</v>
      </c>
      <c r="D94">
        <f ca="1">'Modello P-C SJF'!$D94</f>
        <v>2.5281112307587335</v>
      </c>
      <c r="E94">
        <f ca="1">'Modello P-C SJF'!$E94</f>
        <v>91.063305800503073</v>
      </c>
      <c r="G94">
        <f ca="1">'Modello P-C SJF'!$G94</f>
        <v>0.42841624142920776</v>
      </c>
      <c r="H94">
        <f ca="1">'Modello P-C SJF'!$H94</f>
        <v>0.89645019346372612</v>
      </c>
      <c r="I94">
        <f t="shared" ca="1" si="26"/>
        <v>92.057409553714749</v>
      </c>
      <c r="K94" s="2" t="s">
        <v>114</v>
      </c>
      <c r="O94">
        <f t="shared" ca="1" si="20"/>
        <v>0.99410375321167521</v>
      </c>
      <c r="P94">
        <f t="shared" ca="1" si="21"/>
        <v>9.7654000000000005E-2</v>
      </c>
      <c r="Q94">
        <f t="shared" ca="1" si="27"/>
        <v>9.7653559747975294E-2</v>
      </c>
      <c r="S94">
        <f t="shared" ca="1" si="22"/>
        <v>86</v>
      </c>
      <c r="T94">
        <f t="shared" ca="1" si="23"/>
        <v>84</v>
      </c>
      <c r="U94">
        <f t="shared" ca="1" si="24"/>
        <v>2</v>
      </c>
    </row>
    <row r="95" spans="1:21" x14ac:dyDescent="0.3">
      <c r="A95">
        <f t="shared" si="25"/>
        <v>87</v>
      </c>
      <c r="B95" t="s">
        <v>113</v>
      </c>
      <c r="C95">
        <f ca="1">'Modello P-C SJF'!$C95</f>
        <v>0.78587770442424376</v>
      </c>
      <c r="D95">
        <f ca="1">'Modello P-C SJF'!$D95</f>
        <v>0.24095409099424142</v>
      </c>
      <c r="E95">
        <f ca="1">'Modello P-C SJF'!$E95</f>
        <v>91.30425989149731</v>
      </c>
      <c r="G95">
        <f ca="1">'Modello P-C SJF'!$G95</f>
        <v>0.43338861292758946</v>
      </c>
      <c r="H95">
        <f ca="1">'Modello P-C SJF'!$H95</f>
        <v>0.88491062821175648</v>
      </c>
      <c r="I95">
        <f t="shared" ca="1" si="26"/>
        <v>92.942320181926505</v>
      </c>
      <c r="K95" s="2" t="s">
        <v>113</v>
      </c>
      <c r="O95">
        <f t="shared" ca="1" si="20"/>
        <v>1.6380602904291948</v>
      </c>
      <c r="P95">
        <f t="shared" ca="1" si="21"/>
        <v>0.75314999999999999</v>
      </c>
      <c r="Q95">
        <f t="shared" ca="1" si="27"/>
        <v>0.75314966221746005</v>
      </c>
      <c r="S95">
        <f t="shared" ca="1" si="22"/>
        <v>87</v>
      </c>
      <c r="T95">
        <f t="shared" ca="1" si="23"/>
        <v>85</v>
      </c>
      <c r="U95">
        <f t="shared" ca="1" si="24"/>
        <v>2</v>
      </c>
    </row>
    <row r="96" spans="1:21" x14ac:dyDescent="0.3">
      <c r="A96">
        <f t="shared" si="25"/>
        <v>88</v>
      </c>
      <c r="B96" t="s">
        <v>112</v>
      </c>
      <c r="C96">
        <f ca="1">'Modello P-C SJF'!$C96</f>
        <v>0.41668249914713895</v>
      </c>
      <c r="D96">
        <f ca="1">'Modello P-C SJF'!$D96</f>
        <v>0.87543074012267041</v>
      </c>
      <c r="E96">
        <f ca="1">'Modello P-C SJF'!$E96</f>
        <v>92.179690631619977</v>
      </c>
      <c r="G96">
        <f ca="1">'Modello P-C SJF'!$G96</f>
        <v>0.34889700479345187</v>
      </c>
      <c r="H96">
        <f ca="1">'Modello P-C SJF'!$H96</f>
        <v>1.1017686797092123</v>
      </c>
      <c r="I96">
        <f t="shared" ca="1" si="26"/>
        <v>94.044088861635714</v>
      </c>
      <c r="K96" s="2" t="s">
        <v>112</v>
      </c>
      <c r="O96">
        <f t="shared" ca="1" si="20"/>
        <v>1.8643982300157376</v>
      </c>
      <c r="P96">
        <f t="shared" ca="1" si="21"/>
        <v>0.76263000000000003</v>
      </c>
      <c r="Q96">
        <f t="shared" ca="1" si="27"/>
        <v>0.76262955030654611</v>
      </c>
      <c r="S96">
        <f t="shared" ca="1" si="22"/>
        <v>88</v>
      </c>
      <c r="T96">
        <f t="shared" ca="1" si="23"/>
        <v>86</v>
      </c>
      <c r="U96">
        <f t="shared" ca="1" si="24"/>
        <v>2</v>
      </c>
    </row>
    <row r="97" spans="1:21" x14ac:dyDescent="0.3">
      <c r="A97">
        <f t="shared" si="25"/>
        <v>89</v>
      </c>
      <c r="B97" t="s">
        <v>111</v>
      </c>
      <c r="C97">
        <f ca="1">'Modello P-C SJF'!$C97</f>
        <v>0.48181374222607354</v>
      </c>
      <c r="D97">
        <f ca="1">'Modello P-C SJF'!$D97</f>
        <v>0.73019766653051776</v>
      </c>
      <c r="E97">
        <f ca="1">'Modello P-C SJF'!$E97</f>
        <v>92.909888298150491</v>
      </c>
      <c r="G97">
        <f ca="1">'Modello P-C SJF'!$G97</f>
        <v>0.5670576334731442</v>
      </c>
      <c r="H97">
        <f ca="1">'Modello P-C SJF'!$H97</f>
        <v>0.61608449825234102</v>
      </c>
      <c r="I97">
        <f t="shared" ca="1" si="26"/>
        <v>94.660173359888049</v>
      </c>
      <c r="K97" s="2" t="s">
        <v>111</v>
      </c>
      <c r="O97">
        <f t="shared" ca="1" si="20"/>
        <v>1.7502850617375572</v>
      </c>
      <c r="P97">
        <f t="shared" ca="1" si="21"/>
        <v>1.134201</v>
      </c>
      <c r="Q97">
        <f t="shared" ca="1" si="27"/>
        <v>1.1342005634852406</v>
      </c>
      <c r="S97">
        <f t="shared" ca="1" si="22"/>
        <v>89</v>
      </c>
      <c r="T97">
        <f t="shared" ca="1" si="23"/>
        <v>86</v>
      </c>
      <c r="U97">
        <f t="shared" ca="1" si="24"/>
        <v>3</v>
      </c>
    </row>
    <row r="98" spans="1:21" x14ac:dyDescent="0.3">
      <c r="A98">
        <f t="shared" si="25"/>
        <v>90</v>
      </c>
      <c r="B98" t="s">
        <v>110</v>
      </c>
      <c r="C98">
        <f ca="1">'Modello P-C SJF'!$C98</f>
        <v>0.96293954993726516</v>
      </c>
      <c r="D98">
        <f ca="1">'Modello P-C SJF'!$D98</f>
        <v>3.7764641805111791E-2</v>
      </c>
      <c r="E98">
        <f ca="1">'Modello P-C SJF'!$E98</f>
        <v>92.947652939955603</v>
      </c>
      <c r="G98">
        <f ca="1">'Modello P-C SJF'!$G98</f>
        <v>0.17172911131847401</v>
      </c>
      <c r="H98">
        <f ca="1">'Modello P-C SJF'!$H98</f>
        <v>1.8106271420455988</v>
      </c>
      <c r="I98">
        <f t="shared" ca="1" si="26"/>
        <v>96.470800501933653</v>
      </c>
      <c r="K98" s="2" t="s">
        <v>110</v>
      </c>
      <c r="O98">
        <f t="shared" ca="1" si="20"/>
        <v>3.5231475619780497</v>
      </c>
      <c r="P98">
        <f t="shared" ca="1" si="21"/>
        <v>1.71252</v>
      </c>
      <c r="Q98">
        <f t="shared" ca="1" si="27"/>
        <v>1.7125204199324697</v>
      </c>
      <c r="S98">
        <f t="shared" ca="1" si="22"/>
        <v>90</v>
      </c>
      <c r="T98">
        <f t="shared" ca="1" si="23"/>
        <v>87</v>
      </c>
      <c r="U98">
        <f t="shared" ca="1" si="24"/>
        <v>3</v>
      </c>
    </row>
    <row r="99" spans="1:21" x14ac:dyDescent="0.3">
      <c r="A99">
        <f t="shared" si="25"/>
        <v>91</v>
      </c>
      <c r="B99" t="s">
        <v>109</v>
      </c>
      <c r="C99">
        <f ca="1">'Modello P-C SJF'!$C99</f>
        <v>0.90883823208892023</v>
      </c>
      <c r="D99">
        <f ca="1">'Modello P-C SJF'!$D99</f>
        <v>9.558816314030022E-2</v>
      </c>
      <c r="E99">
        <f ca="1">'Modello P-C SJF'!$E99</f>
        <v>93.043241103095909</v>
      </c>
      <c r="G99">
        <f ca="1">'Modello P-C SJF'!$G99</f>
        <v>0.19537618175879645</v>
      </c>
      <c r="H99">
        <f ca="1">'Modello P-C SJF'!$H99</f>
        <v>1.6816186057587581</v>
      </c>
      <c r="I99">
        <f t="shared" ca="1" si="26"/>
        <v>98.15241910769241</v>
      </c>
      <c r="K99" s="2" t="s">
        <v>109</v>
      </c>
      <c r="O99">
        <f t="shared" ca="1" si="20"/>
        <v>5.109178004596501</v>
      </c>
      <c r="P99">
        <f t="shared" ca="1" si="21"/>
        <v>3.427559</v>
      </c>
      <c r="Q99">
        <f t="shared" ca="1" si="27"/>
        <v>3.4275593988377682</v>
      </c>
      <c r="S99">
        <f t="shared" ca="1" si="22"/>
        <v>91</v>
      </c>
      <c r="T99">
        <f t="shared" ca="1" si="23"/>
        <v>87</v>
      </c>
      <c r="U99">
        <f t="shared" ca="1" si="24"/>
        <v>4</v>
      </c>
    </row>
    <row r="100" spans="1:21" x14ac:dyDescent="0.3">
      <c r="A100">
        <f t="shared" si="25"/>
        <v>92</v>
      </c>
      <c r="B100" t="s">
        <v>108</v>
      </c>
      <c r="C100">
        <f ca="1">'Modello P-C SJF'!$C100</f>
        <v>0.76816311735234788</v>
      </c>
      <c r="D100">
        <f ca="1">'Modello P-C SJF'!$D100</f>
        <v>0.26375317600066484</v>
      </c>
      <c r="E100">
        <f ca="1">'Modello P-C SJF'!$E100</f>
        <v>93.306994279096571</v>
      </c>
      <c r="G100">
        <f ca="1">'Modello P-C SJF'!$G100</f>
        <v>0.81036381968378368</v>
      </c>
      <c r="H100">
        <f ca="1">'Modello P-C SJF'!$H100</f>
        <v>0.25906213622385227</v>
      </c>
      <c r="I100">
        <f t="shared" ca="1" si="26"/>
        <v>98.411481243916256</v>
      </c>
      <c r="K100" s="2" t="s">
        <v>108</v>
      </c>
      <c r="O100">
        <f t="shared" ca="1" si="20"/>
        <v>5.1044869648196851</v>
      </c>
      <c r="P100">
        <f t="shared" ca="1" si="21"/>
        <v>4.8454249999999996</v>
      </c>
      <c r="Q100">
        <f t="shared" ca="1" si="27"/>
        <v>4.8454248285958608</v>
      </c>
      <c r="S100">
        <f t="shared" ca="1" si="22"/>
        <v>92</v>
      </c>
      <c r="T100">
        <f t="shared" ca="1" si="23"/>
        <v>87</v>
      </c>
      <c r="U100">
        <f t="shared" ca="1" si="24"/>
        <v>5</v>
      </c>
    </row>
    <row r="101" spans="1:21" x14ac:dyDescent="0.3">
      <c r="A101">
        <f t="shared" si="25"/>
        <v>93</v>
      </c>
      <c r="B101" t="s">
        <v>107</v>
      </c>
      <c r="C101">
        <f ca="1">'Modello P-C SJF'!$C101</f>
        <v>0.10279725824045505</v>
      </c>
      <c r="D101">
        <f ca="1">'Modello P-C SJF'!$D101</f>
        <v>2.274996597129439</v>
      </c>
      <c r="E101">
        <f ca="1">'Modello P-C SJF'!$E101</f>
        <v>95.581990876226016</v>
      </c>
      <c r="G101">
        <f ca="1">'Modello P-C SJF'!$G101</f>
        <v>0.11210035483303082</v>
      </c>
      <c r="H101">
        <f ca="1">'Modello P-C SJF'!$H101</f>
        <v>2.2371509477525873</v>
      </c>
      <c r="I101">
        <f t="shared" ca="1" si="26"/>
        <v>100.64863219166884</v>
      </c>
      <c r="K101" s="2" t="s">
        <v>107</v>
      </c>
      <c r="O101">
        <f t="shared" ca="1" si="20"/>
        <v>5.0666413154428227</v>
      </c>
      <c r="P101">
        <f t="shared" ca="1" si="21"/>
        <v>2.8294899999999998</v>
      </c>
      <c r="Q101">
        <f t="shared" ca="1" si="27"/>
        <v>2.8294903676902736</v>
      </c>
      <c r="S101">
        <f t="shared" ca="1" si="22"/>
        <v>93</v>
      </c>
      <c r="T101">
        <f t="shared" ca="1" si="23"/>
        <v>89</v>
      </c>
      <c r="U101">
        <f t="shared" ca="1" si="24"/>
        <v>4</v>
      </c>
    </row>
    <row r="102" spans="1:21" x14ac:dyDescent="0.3">
      <c r="A102">
        <f t="shared" si="25"/>
        <v>94</v>
      </c>
      <c r="B102" t="s">
        <v>106</v>
      </c>
      <c r="C102">
        <f ca="1">'Modello P-C SJF'!$C102</f>
        <v>0.52515604878402489</v>
      </c>
      <c r="D102">
        <f ca="1">'Modello P-C SJF'!$D102</f>
        <v>0.6440598247772209</v>
      </c>
      <c r="E102">
        <f ca="1">'Modello P-C SJF'!$E102</f>
        <v>96.226050701003231</v>
      </c>
      <c r="G102">
        <f ca="1">'Modello P-C SJF'!$G102</f>
        <v>0.38778336231832899</v>
      </c>
      <c r="H102">
        <f ca="1">'Modello P-C SJF'!$H102</f>
        <v>0.99609860400104311</v>
      </c>
      <c r="I102">
        <f t="shared" ca="1" si="26"/>
        <v>101.64473079566989</v>
      </c>
      <c r="K102" s="2" t="s">
        <v>106</v>
      </c>
      <c r="O102">
        <f t="shared" ca="1" si="20"/>
        <v>5.4186800946666551</v>
      </c>
      <c r="P102">
        <f t="shared" ca="1" si="21"/>
        <v>4.4225810000000001</v>
      </c>
      <c r="Q102">
        <f t="shared" ca="1" si="27"/>
        <v>4.4225814906656398</v>
      </c>
      <c r="S102">
        <f t="shared" ca="1" si="22"/>
        <v>94</v>
      </c>
      <c r="T102">
        <f t="shared" ca="1" si="23"/>
        <v>89</v>
      </c>
      <c r="U102">
        <f t="shared" ca="1" si="24"/>
        <v>5</v>
      </c>
    </row>
    <row r="103" spans="1:21" x14ac:dyDescent="0.3">
      <c r="A103">
        <f t="shared" si="25"/>
        <v>95</v>
      </c>
      <c r="B103" t="s">
        <v>105</v>
      </c>
      <c r="C103">
        <f ca="1">'Modello P-C SJF'!$C103</f>
        <v>0.6466916433589156</v>
      </c>
      <c r="D103">
        <f ca="1">'Modello P-C SJF'!$D103</f>
        <v>0.43588569258785037</v>
      </c>
      <c r="E103">
        <f ca="1">'Modello P-C SJF'!$E103</f>
        <v>96.661936393591077</v>
      </c>
      <c r="G103">
        <f ca="1">'Modello P-C SJF'!$G103</f>
        <v>0.28456489426368625</v>
      </c>
      <c r="H103">
        <f ca="1">'Modello P-C SJF'!$H103</f>
        <v>1.3055841162507651</v>
      </c>
      <c r="I103">
        <f t="shared" ca="1" si="26"/>
        <v>102.95031491192066</v>
      </c>
      <c r="K103" s="2" t="s">
        <v>105</v>
      </c>
      <c r="O103">
        <f t="shared" ca="1" si="20"/>
        <v>6.2883785183295799</v>
      </c>
      <c r="P103">
        <f t="shared" ca="1" si="21"/>
        <v>4.9827940000000002</v>
      </c>
      <c r="Q103">
        <f t="shared" ca="1" si="27"/>
        <v>4.9827944020788326</v>
      </c>
      <c r="S103">
        <f t="shared" ca="1" si="22"/>
        <v>95</v>
      </c>
      <c r="T103">
        <f t="shared" ca="1" si="23"/>
        <v>90</v>
      </c>
      <c r="U103">
        <f t="shared" ca="1" si="24"/>
        <v>5</v>
      </c>
    </row>
    <row r="104" spans="1:21" x14ac:dyDescent="0.3">
      <c r="A104">
        <f t="shared" si="25"/>
        <v>96</v>
      </c>
      <c r="B104" t="s">
        <v>104</v>
      </c>
      <c r="C104">
        <f ca="1">'Modello P-C SJF'!$C104</f>
        <v>0.91668390988974791</v>
      </c>
      <c r="D104">
        <f ca="1">'Modello P-C SJF'!$D104</f>
        <v>8.6992566377734545E-2</v>
      </c>
      <c r="E104">
        <f ca="1">'Modello P-C SJF'!$E104</f>
        <v>96.748928959968808</v>
      </c>
      <c r="G104">
        <f ca="1">'Modello P-C SJF'!$G104</f>
        <v>0.86324675974454701</v>
      </c>
      <c r="H104">
        <f ca="1">'Modello P-C SJF'!$H104</f>
        <v>0.19584486044246857</v>
      </c>
      <c r="I104">
        <f t="shared" ca="1" si="26"/>
        <v>103.14615977236312</v>
      </c>
      <c r="K104" s="2" t="s">
        <v>104</v>
      </c>
      <c r="O104">
        <f t="shared" ca="1" si="20"/>
        <v>6.3972308123943122</v>
      </c>
      <c r="P104">
        <f t="shared" ca="1" si="21"/>
        <v>6.2013860000000003</v>
      </c>
      <c r="Q104">
        <f t="shared" ca="1" si="27"/>
        <v>6.2013859519518633</v>
      </c>
      <c r="S104">
        <f t="shared" ca="1" si="22"/>
        <v>96</v>
      </c>
      <c r="T104">
        <f t="shared" ca="1" si="23"/>
        <v>90</v>
      </c>
      <c r="U104">
        <f t="shared" ca="1" si="24"/>
        <v>6</v>
      </c>
    </row>
    <row r="105" spans="1:21" x14ac:dyDescent="0.3">
      <c r="A105">
        <f t="shared" si="25"/>
        <v>97</v>
      </c>
      <c r="B105" t="s">
        <v>103</v>
      </c>
      <c r="C105">
        <f ca="1">'Modello P-C SJF'!$C105</f>
        <v>0.70257082333232501</v>
      </c>
      <c r="D105">
        <f ca="1">'Modello P-C SJF'!$D105</f>
        <v>0.35300906672441734</v>
      </c>
      <c r="E105">
        <f ca="1">'Modello P-C SJF'!$E105</f>
        <v>97.101938026693219</v>
      </c>
      <c r="G105">
        <f ca="1">'Modello P-C SJF'!$G105</f>
        <v>0.16683045292967758</v>
      </c>
      <c r="H105">
        <f ca="1">'Modello P-C SJF'!$H105</f>
        <v>1.8395673983702259</v>
      </c>
      <c r="I105">
        <f t="shared" ca="1" si="26"/>
        <v>104.98572717073334</v>
      </c>
      <c r="K105" s="2" t="s">
        <v>103</v>
      </c>
      <c r="O105">
        <f t="shared" ref="O105:O136" ca="1" si="28">$I105-$E105</f>
        <v>7.8837891440401222</v>
      </c>
      <c r="P105">
        <f t="shared" ref="P105:P136" ca="1" si="29">MAX(0, ROUND($O105-$H105, 6))</f>
        <v>6.0442220000000004</v>
      </c>
      <c r="Q105">
        <f t="shared" ca="1" si="27"/>
        <v>6.0442217456699145</v>
      </c>
      <c r="S105">
        <f t="shared" ref="S105:S136" ca="1" si="30">COUNTIF($E$9:$E$208, "&lt;=" &amp;$E105)</f>
        <v>97</v>
      </c>
      <c r="T105">
        <f t="shared" ref="T105:T136" ca="1" si="31">COUNTIF($I$9:$I$208, "&lt;=" &amp;$E105)</f>
        <v>90</v>
      </c>
      <c r="U105">
        <f t="shared" ref="U105:U136" ca="1" si="32">$S105-$T105</f>
        <v>7</v>
      </c>
    </row>
    <row r="106" spans="1:21" x14ac:dyDescent="0.3">
      <c r="A106">
        <f t="shared" ref="A106:A137" si="33">$A105 + 1</f>
        <v>98</v>
      </c>
      <c r="B106" t="s">
        <v>102</v>
      </c>
      <c r="C106">
        <f ca="1">'Modello P-C SJF'!$C106</f>
        <v>0.90285428767758436</v>
      </c>
      <c r="D106">
        <f ca="1">'Modello P-C SJF'!$D106</f>
        <v>0.10219410328396998</v>
      </c>
      <c r="E106">
        <f ca="1">'Modello P-C SJF'!$E106</f>
        <v>97.204132129977182</v>
      </c>
      <c r="G106">
        <f ca="1">'Modello P-C SJF'!$G106</f>
        <v>0.14434350822150621</v>
      </c>
      <c r="H106">
        <f ca="1">'Modello P-C SJF'!$H106</f>
        <v>1.9843495105408853</v>
      </c>
      <c r="I106">
        <f t="shared" ref="I106:I137" ca="1" si="34">MAX($E106+$H106, $H106+$I105)</f>
        <v>106.97007668127422</v>
      </c>
      <c r="K106" s="2" t="s">
        <v>102</v>
      </c>
      <c r="O106">
        <f t="shared" ca="1" si="28"/>
        <v>9.7659445512970393</v>
      </c>
      <c r="P106">
        <f t="shared" ca="1" si="29"/>
        <v>7.7815950000000003</v>
      </c>
      <c r="Q106">
        <f t="shared" ref="Q106:Q137" ca="1" si="35">MAX(0,$Q105+$H105-$D106)</f>
        <v>7.7815950407561703</v>
      </c>
      <c r="S106">
        <f t="shared" ca="1" si="30"/>
        <v>98</v>
      </c>
      <c r="T106">
        <f t="shared" ca="1" si="31"/>
        <v>90</v>
      </c>
      <c r="U106">
        <f t="shared" ca="1" si="32"/>
        <v>8</v>
      </c>
    </row>
    <row r="107" spans="1:21" x14ac:dyDescent="0.3">
      <c r="A107">
        <f t="shared" si="33"/>
        <v>99</v>
      </c>
      <c r="B107" t="s">
        <v>101</v>
      </c>
      <c r="C107">
        <f ca="1">'Modello P-C SJF'!$C107</f>
        <v>0.77630796134934488</v>
      </c>
      <c r="D107">
        <f ca="1">'Modello P-C SJF'!$D107</f>
        <v>0.25320598011704198</v>
      </c>
      <c r="E107">
        <f ca="1">'Modello P-C SJF'!$E107</f>
        <v>97.457338110094227</v>
      </c>
      <c r="G107">
        <f ca="1">'Modello P-C SJF'!$G107</f>
        <v>0.46428382464588258</v>
      </c>
      <c r="H107">
        <f ca="1">'Modello P-C SJF'!$H107</f>
        <v>0.81604938688486539</v>
      </c>
      <c r="I107">
        <f t="shared" ca="1" si="34"/>
        <v>107.78612606815909</v>
      </c>
      <c r="K107" s="2" t="s">
        <v>101</v>
      </c>
      <c r="O107">
        <f t="shared" ca="1" si="28"/>
        <v>10.328787958064865</v>
      </c>
      <c r="P107">
        <f t="shared" ca="1" si="29"/>
        <v>9.5127389999999998</v>
      </c>
      <c r="Q107">
        <f t="shared" ca="1" si="35"/>
        <v>9.5127385711800141</v>
      </c>
      <c r="S107">
        <f t="shared" ca="1" si="30"/>
        <v>99</v>
      </c>
      <c r="T107">
        <f t="shared" ca="1" si="31"/>
        <v>90</v>
      </c>
      <c r="U107">
        <f t="shared" ca="1" si="32"/>
        <v>9</v>
      </c>
    </row>
    <row r="108" spans="1:21" x14ac:dyDescent="0.3">
      <c r="A108">
        <f t="shared" si="33"/>
        <v>100</v>
      </c>
      <c r="B108" t="s">
        <v>100</v>
      </c>
      <c r="C108">
        <f ca="1">'Modello P-C SJF'!$C108</f>
        <v>0.5494589809616347</v>
      </c>
      <c r="D108">
        <f ca="1">'Modello P-C SJF'!$D108</f>
        <v>0.5988211558562675</v>
      </c>
      <c r="E108">
        <f ca="1">'Modello P-C SJF'!$E108</f>
        <v>98.056159265950498</v>
      </c>
      <c r="G108">
        <f ca="1">'Modello P-C SJF'!$G108</f>
        <v>0.11653221859494667</v>
      </c>
      <c r="H108">
        <f ca="1">'Modello P-C SJF'!$H108</f>
        <v>2.1983776539168889</v>
      </c>
      <c r="I108">
        <f t="shared" ca="1" si="34"/>
        <v>109.98450372207598</v>
      </c>
      <c r="K108" s="2" t="s">
        <v>100</v>
      </c>
      <c r="O108">
        <f t="shared" ca="1" si="28"/>
        <v>11.928344456125487</v>
      </c>
      <c r="P108">
        <f t="shared" ca="1" si="29"/>
        <v>9.7299670000000003</v>
      </c>
      <c r="Q108">
        <f t="shared" ca="1" si="35"/>
        <v>9.7299668022086117</v>
      </c>
      <c r="S108">
        <f t="shared" ca="1" si="30"/>
        <v>100</v>
      </c>
      <c r="T108">
        <f t="shared" ca="1" si="31"/>
        <v>90</v>
      </c>
      <c r="U108">
        <f t="shared" ca="1" si="32"/>
        <v>10</v>
      </c>
    </row>
    <row r="109" spans="1:21" x14ac:dyDescent="0.3">
      <c r="A109">
        <f t="shared" si="33"/>
        <v>101</v>
      </c>
      <c r="B109" t="s">
        <v>99</v>
      </c>
      <c r="C109">
        <f ca="1">'Modello P-C SJF'!$C109</f>
        <v>0.89981726794842276</v>
      </c>
      <c r="D109">
        <f ca="1">'Modello P-C SJF'!$D109</f>
        <v>0.10556357188521032</v>
      </c>
      <c r="E109">
        <f ca="1">'Modello P-C SJF'!$E109</f>
        <v>98.161722837835711</v>
      </c>
      <c r="G109">
        <f ca="1">'Modello P-C SJF'!$G109</f>
        <v>0.72775842160356974</v>
      </c>
      <c r="H109">
        <f ca="1">'Modello P-C SJF'!$H109</f>
        <v>0.36657628848208212</v>
      </c>
      <c r="I109">
        <f t="shared" ca="1" si="34"/>
        <v>110.35108001055806</v>
      </c>
      <c r="K109" s="2" t="s">
        <v>99</v>
      </c>
      <c r="O109">
        <f t="shared" ca="1" si="28"/>
        <v>12.189357172722353</v>
      </c>
      <c r="P109">
        <f t="shared" ca="1" si="29"/>
        <v>11.822781000000001</v>
      </c>
      <c r="Q109">
        <f t="shared" ca="1" si="35"/>
        <v>11.822780884240291</v>
      </c>
      <c r="S109">
        <f t="shared" ca="1" si="30"/>
        <v>101</v>
      </c>
      <c r="T109">
        <f t="shared" ca="1" si="31"/>
        <v>91</v>
      </c>
      <c r="U109">
        <f t="shared" ca="1" si="32"/>
        <v>10</v>
      </c>
    </row>
    <row r="110" spans="1:21" x14ac:dyDescent="0.3">
      <c r="A110">
        <f t="shared" si="33"/>
        <v>102</v>
      </c>
      <c r="B110" t="s">
        <v>98</v>
      </c>
      <c r="C110">
        <f ca="1">'Modello P-C SJF'!$C110</f>
        <v>0.59601767309251952</v>
      </c>
      <c r="D110">
        <f ca="1">'Modello P-C SJF'!$D110</f>
        <v>0.51748495951662621</v>
      </c>
      <c r="E110">
        <f ca="1">'Modello P-C SJF'!$E110</f>
        <v>98.679207797352333</v>
      </c>
      <c r="G110">
        <f ca="1">'Modello P-C SJF'!$G110</f>
        <v>0.48331415696858038</v>
      </c>
      <c r="H110">
        <f ca="1">'Modello P-C SJF'!$H110</f>
        <v>0.77587857242956171</v>
      </c>
      <c r="I110">
        <f t="shared" ca="1" si="34"/>
        <v>111.12695858298763</v>
      </c>
      <c r="K110" s="2" t="s">
        <v>98</v>
      </c>
      <c r="O110">
        <f t="shared" ca="1" si="28"/>
        <v>12.447750785635293</v>
      </c>
      <c r="P110">
        <f t="shared" ca="1" si="29"/>
        <v>11.671872</v>
      </c>
      <c r="Q110">
        <f t="shared" ca="1" si="35"/>
        <v>11.671872213205749</v>
      </c>
      <c r="S110">
        <f t="shared" ca="1" si="30"/>
        <v>102</v>
      </c>
      <c r="T110">
        <f t="shared" ca="1" si="31"/>
        <v>92</v>
      </c>
      <c r="U110">
        <f t="shared" ca="1" si="32"/>
        <v>10</v>
      </c>
    </row>
    <row r="111" spans="1:21" x14ac:dyDescent="0.3">
      <c r="A111">
        <f t="shared" si="33"/>
        <v>103</v>
      </c>
      <c r="B111" t="s">
        <v>97</v>
      </c>
      <c r="C111">
        <f ca="1">'Modello P-C SJF'!$C111</f>
        <v>1.9907514661909098E-2</v>
      </c>
      <c r="D111">
        <f ca="1">'Modello P-C SJF'!$D111</f>
        <v>3.9166579973311699</v>
      </c>
      <c r="E111">
        <f ca="1">'Modello P-C SJF'!$E111</f>
        <v>102.5958657946835</v>
      </c>
      <c r="G111">
        <f ca="1">'Modello P-C SJF'!$G111</f>
        <v>0.6830819087567237</v>
      </c>
      <c r="H111">
        <f ca="1">'Modello P-C SJF'!$H111</f>
        <v>0.42993066579796274</v>
      </c>
      <c r="I111">
        <f t="shared" ca="1" si="34"/>
        <v>111.55688924878559</v>
      </c>
      <c r="K111" s="2" t="s">
        <v>97</v>
      </c>
      <c r="O111">
        <f t="shared" ca="1" si="28"/>
        <v>8.9610234541020901</v>
      </c>
      <c r="P111">
        <f t="shared" ca="1" si="29"/>
        <v>8.5310930000000003</v>
      </c>
      <c r="Q111">
        <f t="shared" ca="1" si="35"/>
        <v>8.5310927883041412</v>
      </c>
      <c r="S111">
        <f t="shared" ca="1" si="30"/>
        <v>103</v>
      </c>
      <c r="T111">
        <f t="shared" ca="1" si="31"/>
        <v>94</v>
      </c>
      <c r="U111">
        <f t="shared" ca="1" si="32"/>
        <v>9</v>
      </c>
    </row>
    <row r="112" spans="1:21" x14ac:dyDescent="0.3">
      <c r="A112">
        <f t="shared" si="33"/>
        <v>104</v>
      </c>
      <c r="B112" t="s">
        <v>96</v>
      </c>
      <c r="C112">
        <f ca="1">'Modello P-C SJF'!$C112</f>
        <v>0.1276042902363812</v>
      </c>
      <c r="D112">
        <f ca="1">'Modello P-C SJF'!$D112</f>
        <v>2.0588212860945001</v>
      </c>
      <c r="E112">
        <f ca="1">'Modello P-C SJF'!$E112</f>
        <v>104.654687080778</v>
      </c>
      <c r="G112">
        <f ca="1">'Modello P-C SJF'!$G112</f>
        <v>0.5011213229226279</v>
      </c>
      <c r="H112">
        <f ca="1">'Modello P-C SJF'!$H112</f>
        <v>0.73969720986086163</v>
      </c>
      <c r="I112">
        <f t="shared" ca="1" si="34"/>
        <v>112.29658645864646</v>
      </c>
      <c r="K112" s="2" t="s">
        <v>96</v>
      </c>
      <c r="O112">
        <f t="shared" ca="1" si="28"/>
        <v>7.6418993778684552</v>
      </c>
      <c r="P112">
        <f t="shared" ca="1" si="29"/>
        <v>6.9022019999999999</v>
      </c>
      <c r="Q112">
        <f t="shared" ca="1" si="35"/>
        <v>6.9022021680076042</v>
      </c>
      <c r="S112">
        <f t="shared" ca="1" si="30"/>
        <v>104</v>
      </c>
      <c r="T112">
        <f t="shared" ca="1" si="31"/>
        <v>96</v>
      </c>
      <c r="U112">
        <f t="shared" ca="1" si="32"/>
        <v>8</v>
      </c>
    </row>
    <row r="113" spans="1:21" x14ac:dyDescent="0.3">
      <c r="A113">
        <f t="shared" si="33"/>
        <v>105</v>
      </c>
      <c r="B113" t="s">
        <v>95</v>
      </c>
      <c r="C113">
        <f ca="1">'Modello P-C SJF'!$C113</f>
        <v>0.42679197999420171</v>
      </c>
      <c r="D113">
        <f ca="1">'Modello P-C SJF'!$D113</f>
        <v>0.85145855074748922</v>
      </c>
      <c r="E113">
        <f ca="1">'Modello P-C SJF'!$E113</f>
        <v>105.5061456315255</v>
      </c>
      <c r="G113">
        <f ca="1">'Modello P-C SJF'!$G113</f>
        <v>0.40874936188473909</v>
      </c>
      <c r="H113">
        <f ca="1">'Modello P-C SJF'!$H113</f>
        <v>0.94344328207957751</v>
      </c>
      <c r="I113">
        <f t="shared" ca="1" si="34"/>
        <v>113.24002974072603</v>
      </c>
      <c r="K113" s="2" t="s">
        <v>95</v>
      </c>
      <c r="O113">
        <f t="shared" ca="1" si="28"/>
        <v>7.733884109200531</v>
      </c>
      <c r="P113">
        <f t="shared" ca="1" si="29"/>
        <v>6.7904410000000004</v>
      </c>
      <c r="Q113">
        <f t="shared" ca="1" si="35"/>
        <v>6.7904408271209764</v>
      </c>
      <c r="S113">
        <f t="shared" ca="1" si="30"/>
        <v>105</v>
      </c>
      <c r="T113">
        <f t="shared" ca="1" si="31"/>
        <v>97</v>
      </c>
      <c r="U113">
        <f t="shared" ca="1" si="32"/>
        <v>8</v>
      </c>
    </row>
    <row r="114" spans="1:21" x14ac:dyDescent="0.3">
      <c r="A114">
        <f t="shared" si="33"/>
        <v>106</v>
      </c>
      <c r="B114" t="s">
        <v>94</v>
      </c>
      <c r="C114">
        <f ca="1">'Modello P-C SJF'!$C114</f>
        <v>0.75782424721589525</v>
      </c>
      <c r="D114">
        <f ca="1">'Modello P-C SJF'!$D114</f>
        <v>0.27730378405561207</v>
      </c>
      <c r="E114">
        <f ca="1">'Modello P-C SJF'!$E114</f>
        <v>105.78344941558112</v>
      </c>
      <c r="G114">
        <f ca="1">'Modello P-C SJF'!$G114</f>
        <v>0.79336069683832122</v>
      </c>
      <c r="H114">
        <f ca="1">'Modello P-C SJF'!$H114</f>
        <v>0.28026747393597745</v>
      </c>
      <c r="I114">
        <f t="shared" ca="1" si="34"/>
        <v>113.52029721466201</v>
      </c>
      <c r="K114" s="2" t="s">
        <v>94</v>
      </c>
      <c r="O114">
        <f t="shared" ca="1" si="28"/>
        <v>7.7368477990808913</v>
      </c>
      <c r="P114">
        <f t="shared" ca="1" si="29"/>
        <v>7.4565799999999998</v>
      </c>
      <c r="Q114">
        <f t="shared" ca="1" si="35"/>
        <v>7.4565803251449418</v>
      </c>
      <c r="S114">
        <f t="shared" ca="1" si="30"/>
        <v>106</v>
      </c>
      <c r="T114">
        <f t="shared" ca="1" si="31"/>
        <v>97</v>
      </c>
      <c r="U114">
        <f t="shared" ca="1" si="32"/>
        <v>9</v>
      </c>
    </row>
    <row r="115" spans="1:21" x14ac:dyDescent="0.3">
      <c r="A115">
        <f t="shared" si="33"/>
        <v>107</v>
      </c>
      <c r="B115" t="s">
        <v>93</v>
      </c>
      <c r="C115">
        <f ca="1">'Modello P-C SJF'!$C115</f>
        <v>0.78612627766044774</v>
      </c>
      <c r="D115">
        <f ca="1">'Modello P-C SJF'!$D115</f>
        <v>0.24063784085606291</v>
      </c>
      <c r="E115">
        <f ca="1">'Modello P-C SJF'!$E115</f>
        <v>106.02408725643718</v>
      </c>
      <c r="G115">
        <f ca="1">'Modello P-C SJF'!$G115</f>
        <v>0.91557411873461536</v>
      </c>
      <c r="H115">
        <f ca="1">'Modello P-C SJF'!$H115</f>
        <v>0.13699412247287826</v>
      </c>
      <c r="I115">
        <f t="shared" ca="1" si="34"/>
        <v>113.65729133713489</v>
      </c>
      <c r="K115" s="2" t="s">
        <v>93</v>
      </c>
      <c r="O115">
        <f t="shared" ca="1" si="28"/>
        <v>7.6332040806977091</v>
      </c>
      <c r="P115">
        <f t="shared" ca="1" si="29"/>
        <v>7.4962099999999996</v>
      </c>
      <c r="Q115">
        <f t="shared" ca="1" si="35"/>
        <v>7.4962099582248571</v>
      </c>
      <c r="S115">
        <f t="shared" ca="1" si="30"/>
        <v>107</v>
      </c>
      <c r="T115">
        <f t="shared" ca="1" si="31"/>
        <v>97</v>
      </c>
      <c r="U115">
        <f t="shared" ca="1" si="32"/>
        <v>10</v>
      </c>
    </row>
    <row r="116" spans="1:21" x14ac:dyDescent="0.3">
      <c r="A116">
        <f t="shared" si="33"/>
        <v>108</v>
      </c>
      <c r="B116" t="s">
        <v>92</v>
      </c>
      <c r="C116">
        <f ca="1">'Modello P-C SJF'!$C116</f>
        <v>2.1995507196890363E-2</v>
      </c>
      <c r="D116">
        <f ca="1">'Modello P-C SJF'!$D116</f>
        <v>3.8169170648023876</v>
      </c>
      <c r="E116">
        <f ca="1">'Modello P-C SJF'!$E116</f>
        <v>109.84100432123957</v>
      </c>
      <c r="G116">
        <f ca="1">'Modello P-C SJF'!$G116</f>
        <v>0.79881001169240651</v>
      </c>
      <c r="H116">
        <f ca="1">'Modello P-C SJF'!$H116</f>
        <v>0.27342230827281999</v>
      </c>
      <c r="I116">
        <f t="shared" ca="1" si="34"/>
        <v>113.93071364540771</v>
      </c>
      <c r="K116" s="2" t="s">
        <v>92</v>
      </c>
      <c r="O116">
        <f t="shared" ca="1" si="28"/>
        <v>4.0897093241681404</v>
      </c>
      <c r="P116">
        <f t="shared" ca="1" si="29"/>
        <v>3.816287</v>
      </c>
      <c r="Q116">
        <f t="shared" ca="1" si="35"/>
        <v>3.8162870158953481</v>
      </c>
      <c r="S116">
        <f t="shared" ca="1" si="30"/>
        <v>108</v>
      </c>
      <c r="T116">
        <f t="shared" ca="1" si="31"/>
        <v>99</v>
      </c>
      <c r="U116">
        <f t="shared" ca="1" si="32"/>
        <v>9</v>
      </c>
    </row>
    <row r="117" spans="1:21" x14ac:dyDescent="0.3">
      <c r="A117">
        <f t="shared" si="33"/>
        <v>109</v>
      </c>
      <c r="B117" t="s">
        <v>91</v>
      </c>
      <c r="C117">
        <f ca="1">'Modello P-C SJF'!$C117</f>
        <v>0.59650321567943743</v>
      </c>
      <c r="D117">
        <f ca="1">'Modello P-C SJF'!$D117</f>
        <v>0.51667064654597727</v>
      </c>
      <c r="E117">
        <f ca="1">'Modello P-C SJF'!$E117</f>
        <v>110.35767496778554</v>
      </c>
      <c r="G117">
        <f ca="1">'Modello P-C SJF'!$G117</f>
        <v>0.13456357666804641</v>
      </c>
      <c r="H117">
        <f ca="1">'Modello P-C SJF'!$H117</f>
        <v>2.054508666810162</v>
      </c>
      <c r="I117">
        <f t="shared" ca="1" si="34"/>
        <v>115.98522231221787</v>
      </c>
      <c r="K117" s="2" t="s">
        <v>91</v>
      </c>
      <c r="O117">
        <f t="shared" ca="1" si="28"/>
        <v>5.6275473444323296</v>
      </c>
      <c r="P117">
        <f t="shared" ca="1" si="29"/>
        <v>3.5730390000000001</v>
      </c>
      <c r="Q117">
        <f t="shared" ca="1" si="35"/>
        <v>3.5730386776221907</v>
      </c>
      <c r="S117">
        <f t="shared" ca="1" si="30"/>
        <v>109</v>
      </c>
      <c r="T117">
        <f t="shared" ca="1" si="31"/>
        <v>101</v>
      </c>
      <c r="U117">
        <f t="shared" ca="1" si="32"/>
        <v>8</v>
      </c>
    </row>
    <row r="118" spans="1:21" x14ac:dyDescent="0.3">
      <c r="A118">
        <f t="shared" si="33"/>
        <v>110</v>
      </c>
      <c r="B118" t="s">
        <v>90</v>
      </c>
      <c r="C118">
        <f ca="1">'Modello P-C SJF'!$C118</f>
        <v>0.40565479151247164</v>
      </c>
      <c r="D118">
        <f ca="1">'Modello P-C SJF'!$D118</f>
        <v>0.90225274827326241</v>
      </c>
      <c r="E118">
        <f ca="1">'Modello P-C SJF'!$E118</f>
        <v>111.2599277160588</v>
      </c>
      <c r="G118">
        <f ca="1">'Modello P-C SJF'!$G118</f>
        <v>1.092033992949959E-2</v>
      </c>
      <c r="H118">
        <f ca="1">'Modello P-C SJF'!$H118</f>
        <v>4.5659183442442561</v>
      </c>
      <c r="I118">
        <f t="shared" ca="1" si="34"/>
        <v>120.55114065646212</v>
      </c>
      <c r="K118" s="2" t="s">
        <v>90</v>
      </c>
      <c r="O118">
        <f t="shared" ca="1" si="28"/>
        <v>9.2912129404033266</v>
      </c>
      <c r="P118">
        <f t="shared" ca="1" si="29"/>
        <v>4.725295</v>
      </c>
      <c r="Q118">
        <f t="shared" ca="1" si="35"/>
        <v>4.72529459615909</v>
      </c>
      <c r="S118">
        <f t="shared" ca="1" si="30"/>
        <v>110</v>
      </c>
      <c r="T118">
        <f t="shared" ca="1" si="31"/>
        <v>102</v>
      </c>
      <c r="U118">
        <f t="shared" ca="1" si="32"/>
        <v>8</v>
      </c>
    </row>
    <row r="119" spans="1:21" x14ac:dyDescent="0.3">
      <c r="A119">
        <f t="shared" si="33"/>
        <v>111</v>
      </c>
      <c r="B119" t="s">
        <v>89</v>
      </c>
      <c r="C119">
        <f ca="1">'Modello P-C SJF'!$C119</f>
        <v>0.25249755183422917</v>
      </c>
      <c r="D119">
        <f ca="1">'Modello P-C SJF'!$D119</f>
        <v>1.3763537260197494</v>
      </c>
      <c r="E119">
        <f ca="1">'Modello P-C SJF'!$E119</f>
        <v>112.63628144207854</v>
      </c>
      <c r="G119">
        <f ca="1">'Modello P-C SJF'!$G119</f>
        <v>0.13442352895876364</v>
      </c>
      <c r="H119">
        <f ca="1">'Modello P-C SJF'!$H119</f>
        <v>2.0555499637274313</v>
      </c>
      <c r="I119">
        <f t="shared" ca="1" si="34"/>
        <v>122.60669062018955</v>
      </c>
      <c r="K119" s="2" t="s">
        <v>89</v>
      </c>
      <c r="O119">
        <f t="shared" ca="1" si="28"/>
        <v>9.9704091781110122</v>
      </c>
      <c r="P119">
        <f t="shared" ca="1" si="29"/>
        <v>7.9148589999999999</v>
      </c>
      <c r="Q119">
        <f t="shared" ca="1" si="35"/>
        <v>7.914859214383597</v>
      </c>
      <c r="S119">
        <f t="shared" ca="1" si="30"/>
        <v>111</v>
      </c>
      <c r="T119">
        <f t="shared" ca="1" si="31"/>
        <v>104</v>
      </c>
      <c r="U119">
        <f t="shared" ca="1" si="32"/>
        <v>7</v>
      </c>
    </row>
    <row r="120" spans="1:21" x14ac:dyDescent="0.3">
      <c r="A120">
        <f t="shared" si="33"/>
        <v>112</v>
      </c>
      <c r="B120" t="s">
        <v>88</v>
      </c>
      <c r="C120">
        <f ca="1">'Modello P-C SJF'!$C120</f>
        <v>0.81842459668552048</v>
      </c>
      <c r="D120">
        <f ca="1">'Modello P-C SJF'!$D120</f>
        <v>0.20037401019527495</v>
      </c>
      <c r="E120">
        <f ca="1">'Modello P-C SJF'!$E120</f>
        <v>112.83665545227382</v>
      </c>
      <c r="G120">
        <f ca="1">'Modello P-C SJF'!$G120</f>
        <v>0.16009107971603009</v>
      </c>
      <c r="H120">
        <f ca="1">'Modello P-C SJF'!$H120</f>
        <v>1.8808025416528642</v>
      </c>
      <c r="I120">
        <f t="shared" ca="1" si="34"/>
        <v>124.48749316184242</v>
      </c>
      <c r="K120" s="2" t="s">
        <v>88</v>
      </c>
      <c r="O120">
        <f t="shared" ca="1" si="28"/>
        <v>11.650837709568606</v>
      </c>
      <c r="P120">
        <f t="shared" ca="1" si="29"/>
        <v>9.770035</v>
      </c>
      <c r="Q120">
        <f t="shared" ca="1" si="35"/>
        <v>9.7700351679157524</v>
      </c>
      <c r="S120">
        <f t="shared" ca="1" si="30"/>
        <v>112</v>
      </c>
      <c r="T120">
        <f t="shared" ca="1" si="31"/>
        <v>104</v>
      </c>
      <c r="U120">
        <f t="shared" ca="1" si="32"/>
        <v>8</v>
      </c>
    </row>
    <row r="121" spans="1:21" x14ac:dyDescent="0.3">
      <c r="A121">
        <f t="shared" si="33"/>
        <v>113</v>
      </c>
      <c r="B121" t="s">
        <v>87</v>
      </c>
      <c r="C121">
        <f ca="1">'Modello P-C SJF'!$C121</f>
        <v>0.92335526484317976</v>
      </c>
      <c r="D121">
        <f ca="1">'Modello P-C SJF'!$D121</f>
        <v>7.9741216213209815E-2</v>
      </c>
      <c r="E121">
        <f ca="1">'Modello P-C SJF'!$E121</f>
        <v>112.91639666848702</v>
      </c>
      <c r="G121">
        <f ca="1">'Modello P-C SJF'!$G121</f>
        <v>0.22362976915662269</v>
      </c>
      <c r="H121">
        <f ca="1">'Modello P-C SJF'!$H121</f>
        <v>1.5465535749693331</v>
      </c>
      <c r="I121">
        <f t="shared" ca="1" si="34"/>
        <v>126.03404673681176</v>
      </c>
      <c r="K121" s="2" t="s">
        <v>87</v>
      </c>
      <c r="O121">
        <f t="shared" ca="1" si="28"/>
        <v>13.117650068324735</v>
      </c>
      <c r="P121">
        <f t="shared" ca="1" si="29"/>
        <v>11.571096000000001</v>
      </c>
      <c r="Q121">
        <f t="shared" ca="1" si="35"/>
        <v>11.571096493355407</v>
      </c>
      <c r="S121">
        <f t="shared" ca="1" si="30"/>
        <v>113</v>
      </c>
      <c r="T121">
        <f t="shared" ca="1" si="31"/>
        <v>104</v>
      </c>
      <c r="U121">
        <f t="shared" ca="1" si="32"/>
        <v>9</v>
      </c>
    </row>
    <row r="122" spans="1:21" x14ac:dyDescent="0.3">
      <c r="A122">
        <f t="shared" si="33"/>
        <v>114</v>
      </c>
      <c r="B122" t="s">
        <v>86</v>
      </c>
      <c r="C122">
        <f ca="1">'Modello P-C SJF'!$C122</f>
        <v>0.48983001349838506</v>
      </c>
      <c r="D122">
        <f ca="1">'Modello P-C SJF'!$D122</f>
        <v>0.71369685929287052</v>
      </c>
      <c r="E122">
        <f ca="1">'Modello P-C SJF'!$E122</f>
        <v>113.63009352777989</v>
      </c>
      <c r="G122">
        <f ca="1">'Modello P-C SJF'!$G122</f>
        <v>0.19463838644948339</v>
      </c>
      <c r="H122">
        <f ca="1">'Modello P-C SJF'!$H122</f>
        <v>1.6854020346331697</v>
      </c>
      <c r="I122">
        <f t="shared" ca="1" si="34"/>
        <v>127.71944877144493</v>
      </c>
      <c r="K122" s="2" t="s">
        <v>86</v>
      </c>
      <c r="O122">
        <f t="shared" ca="1" si="28"/>
        <v>14.08935524366504</v>
      </c>
      <c r="P122">
        <f t="shared" ca="1" si="29"/>
        <v>12.403953</v>
      </c>
      <c r="Q122">
        <f t="shared" ca="1" si="35"/>
        <v>12.40395320903187</v>
      </c>
      <c r="S122">
        <f t="shared" ca="1" si="30"/>
        <v>114</v>
      </c>
      <c r="T122">
        <f t="shared" ca="1" si="31"/>
        <v>106</v>
      </c>
      <c r="U122">
        <f t="shared" ca="1" si="32"/>
        <v>8</v>
      </c>
    </row>
    <row r="123" spans="1:21" x14ac:dyDescent="0.3">
      <c r="A123">
        <f t="shared" si="33"/>
        <v>115</v>
      </c>
      <c r="B123" t="s">
        <v>85</v>
      </c>
      <c r="C123">
        <f ca="1">'Modello P-C SJF'!$C123</f>
        <v>0.91599486178285916</v>
      </c>
      <c r="D123">
        <f ca="1">'Modello P-C SJF'!$D123</f>
        <v>8.7744523731098562E-2</v>
      </c>
      <c r="E123">
        <f ca="1">'Modello P-C SJF'!$E123</f>
        <v>113.717838051511</v>
      </c>
      <c r="G123">
        <f ca="1">'Modello P-C SJF'!$G123</f>
        <v>0.48938272454722709</v>
      </c>
      <c r="H123">
        <f ca="1">'Modello P-C SJF'!$H123</f>
        <v>0.76340059201566912</v>
      </c>
      <c r="I123">
        <f t="shared" ca="1" si="34"/>
        <v>128.48284936346059</v>
      </c>
      <c r="K123" s="2" t="s">
        <v>85</v>
      </c>
      <c r="O123">
        <f t="shared" ca="1" si="28"/>
        <v>14.765011311949593</v>
      </c>
      <c r="P123">
        <f t="shared" ca="1" si="29"/>
        <v>14.001611</v>
      </c>
      <c r="Q123">
        <f t="shared" ca="1" si="35"/>
        <v>14.001610719933941</v>
      </c>
      <c r="S123">
        <f t="shared" ca="1" si="30"/>
        <v>115</v>
      </c>
      <c r="T123">
        <f t="shared" ca="1" si="31"/>
        <v>107</v>
      </c>
      <c r="U123">
        <f t="shared" ca="1" si="32"/>
        <v>8</v>
      </c>
    </row>
    <row r="124" spans="1:21" x14ac:dyDescent="0.3">
      <c r="A124">
        <f t="shared" si="33"/>
        <v>116</v>
      </c>
      <c r="B124" t="s">
        <v>84</v>
      </c>
      <c r="C124">
        <f ca="1">'Modello P-C SJF'!$C124</f>
        <v>0.8380240161746394</v>
      </c>
      <c r="D124">
        <f ca="1">'Modello P-C SJF'!$D124</f>
        <v>0.17670851999109558</v>
      </c>
      <c r="E124">
        <f ca="1">'Modello P-C SJF'!$E124</f>
        <v>113.89454657150209</v>
      </c>
      <c r="G124">
        <f ca="1">'Modello P-C SJF'!$G124</f>
        <v>0.80738097402474118</v>
      </c>
      <c r="H124">
        <f ca="1">'Modello P-C SJF'!$H124</f>
        <v>0.26274979950784766</v>
      </c>
      <c r="I124">
        <f t="shared" ca="1" si="34"/>
        <v>128.74559916296843</v>
      </c>
      <c r="K124" s="2" t="s">
        <v>84</v>
      </c>
      <c r="O124">
        <f t="shared" ca="1" si="28"/>
        <v>14.851052591466342</v>
      </c>
      <c r="P124">
        <f t="shared" ca="1" si="29"/>
        <v>14.588303</v>
      </c>
      <c r="Q124">
        <f t="shared" ca="1" si="35"/>
        <v>14.588302791958515</v>
      </c>
      <c r="S124">
        <f t="shared" ca="1" si="30"/>
        <v>116</v>
      </c>
      <c r="T124">
        <f t="shared" ca="1" si="31"/>
        <v>107</v>
      </c>
      <c r="U124">
        <f t="shared" ca="1" si="32"/>
        <v>9</v>
      </c>
    </row>
    <row r="125" spans="1:21" x14ac:dyDescent="0.3">
      <c r="A125">
        <f t="shared" si="33"/>
        <v>117</v>
      </c>
      <c r="B125" t="s">
        <v>83</v>
      </c>
      <c r="C125">
        <f ca="1">'Modello P-C SJF'!$C125</f>
        <v>0.32430142748234414</v>
      </c>
      <c r="D125">
        <f ca="1">'Modello P-C SJF'!$D125</f>
        <v>1.1260818639445278</v>
      </c>
      <c r="E125">
        <f ca="1">'Modello P-C SJF'!$E125</f>
        <v>115.02062843544662</v>
      </c>
      <c r="G125">
        <f ca="1">'Modello P-C SJF'!$G125</f>
        <v>0.65236250816055019</v>
      </c>
      <c r="H125">
        <f ca="1">'Modello P-C SJF'!$H125</f>
        <v>0.47594504162110124</v>
      </c>
      <c r="I125">
        <f t="shared" ca="1" si="34"/>
        <v>129.22154420458952</v>
      </c>
      <c r="K125" s="2" t="s">
        <v>83</v>
      </c>
      <c r="O125">
        <f t="shared" ca="1" si="28"/>
        <v>14.200915769142895</v>
      </c>
      <c r="P125">
        <f t="shared" ca="1" si="29"/>
        <v>13.724971</v>
      </c>
      <c r="Q125">
        <f t="shared" ca="1" si="35"/>
        <v>13.724970727521836</v>
      </c>
      <c r="S125">
        <f t="shared" ca="1" si="30"/>
        <v>117</v>
      </c>
      <c r="T125">
        <f t="shared" ca="1" si="31"/>
        <v>108</v>
      </c>
      <c r="U125">
        <f t="shared" ca="1" si="32"/>
        <v>9</v>
      </c>
    </row>
    <row r="126" spans="1:21" x14ac:dyDescent="0.3">
      <c r="A126">
        <f t="shared" si="33"/>
        <v>118</v>
      </c>
      <c r="B126" t="s">
        <v>82</v>
      </c>
      <c r="C126">
        <f ca="1">'Modello P-C SJF'!$C126</f>
        <v>0.10410635923102074</v>
      </c>
      <c r="D126">
        <f ca="1">'Modello P-C SJF'!$D126</f>
        <v>2.2623422175130563</v>
      </c>
      <c r="E126">
        <f ca="1">'Modello P-C SJF'!$E126</f>
        <v>117.28297065295968</v>
      </c>
      <c r="G126">
        <f ca="1">'Modello P-C SJF'!$G126</f>
        <v>0.14800318001209767</v>
      </c>
      <c r="H126">
        <f ca="1">'Modello P-C SJF'!$H126</f>
        <v>1.9593116830500594</v>
      </c>
      <c r="I126">
        <f t="shared" ca="1" si="34"/>
        <v>131.18085588763958</v>
      </c>
      <c r="K126" s="2" t="s">
        <v>82</v>
      </c>
      <c r="O126">
        <f t="shared" ca="1" si="28"/>
        <v>13.897885234679904</v>
      </c>
      <c r="P126">
        <f t="shared" ca="1" si="29"/>
        <v>11.938573999999999</v>
      </c>
      <c r="Q126">
        <f t="shared" ca="1" si="35"/>
        <v>11.938573551629879</v>
      </c>
      <c r="S126">
        <f t="shared" ca="1" si="30"/>
        <v>118</v>
      </c>
      <c r="T126">
        <f t="shared" ca="1" si="31"/>
        <v>109</v>
      </c>
      <c r="U126">
        <f t="shared" ca="1" si="32"/>
        <v>9</v>
      </c>
    </row>
    <row r="127" spans="1:21" x14ac:dyDescent="0.3">
      <c r="A127">
        <f t="shared" si="33"/>
        <v>119</v>
      </c>
      <c r="B127" t="s">
        <v>81</v>
      </c>
      <c r="C127">
        <f ca="1">'Modello P-C SJF'!$C127</f>
        <v>0.91543742062669153</v>
      </c>
      <c r="D127">
        <f ca="1">'Modello P-C SJF'!$D127</f>
        <v>8.8353272608942643E-2</v>
      </c>
      <c r="E127">
        <f ca="1">'Modello P-C SJF'!$E127</f>
        <v>117.37132392556862</v>
      </c>
      <c r="G127">
        <f ca="1">'Modello P-C SJF'!$G127</f>
        <v>0.96133591863164547</v>
      </c>
      <c r="H127">
        <f ca="1">'Modello P-C SJF'!$H127</f>
        <v>8.8221544134496649E-2</v>
      </c>
      <c r="I127">
        <f t="shared" ca="1" si="34"/>
        <v>131.26907743177406</v>
      </c>
      <c r="K127" s="2" t="s">
        <v>81</v>
      </c>
      <c r="O127">
        <f t="shared" ca="1" si="28"/>
        <v>13.897753506205447</v>
      </c>
      <c r="P127">
        <f t="shared" ca="1" si="29"/>
        <v>13.809532000000001</v>
      </c>
      <c r="Q127">
        <f t="shared" ca="1" si="35"/>
        <v>13.809531962070995</v>
      </c>
      <c r="S127">
        <f t="shared" ca="1" si="30"/>
        <v>119</v>
      </c>
      <c r="T127">
        <f t="shared" ca="1" si="31"/>
        <v>109</v>
      </c>
      <c r="U127">
        <f t="shared" ca="1" si="32"/>
        <v>10</v>
      </c>
    </row>
    <row r="128" spans="1:21" x14ac:dyDescent="0.3">
      <c r="A128">
        <f t="shared" si="33"/>
        <v>120</v>
      </c>
      <c r="B128" t="s">
        <v>80</v>
      </c>
      <c r="C128">
        <f ca="1">'Modello P-C SJF'!$C128</f>
        <v>0.53909729664847605</v>
      </c>
      <c r="D128">
        <f ca="1">'Modello P-C SJF'!$D128</f>
        <v>0.61785921110121966</v>
      </c>
      <c r="E128">
        <f ca="1">'Modello P-C SJF'!$E128</f>
        <v>117.98918313666984</v>
      </c>
      <c r="G128">
        <f ca="1">'Modello P-C SJF'!$G128</f>
        <v>0.36923756130426666</v>
      </c>
      <c r="H128">
        <f ca="1">'Modello P-C SJF'!$H128</f>
        <v>1.0451052086872576</v>
      </c>
      <c r="I128">
        <f t="shared" ca="1" si="34"/>
        <v>132.31418264046133</v>
      </c>
      <c r="K128" s="2" t="s">
        <v>80</v>
      </c>
      <c r="O128">
        <f t="shared" ca="1" si="28"/>
        <v>14.324999503791489</v>
      </c>
      <c r="P128">
        <f t="shared" ca="1" si="29"/>
        <v>13.279894000000001</v>
      </c>
      <c r="Q128">
        <f t="shared" ca="1" si="35"/>
        <v>13.279894295104272</v>
      </c>
      <c r="S128">
        <f t="shared" ca="1" si="30"/>
        <v>120</v>
      </c>
      <c r="T128">
        <f t="shared" ca="1" si="31"/>
        <v>109</v>
      </c>
      <c r="U128">
        <f t="shared" ca="1" si="32"/>
        <v>11</v>
      </c>
    </row>
    <row r="129" spans="1:21" x14ac:dyDescent="0.3">
      <c r="A129">
        <f t="shared" si="33"/>
        <v>121</v>
      </c>
      <c r="B129" t="s">
        <v>79</v>
      </c>
      <c r="C129">
        <f ca="1">'Modello P-C SJF'!$C129</f>
        <v>0.84102820070471995</v>
      </c>
      <c r="D129">
        <f ca="1">'Modello P-C SJF'!$D129</f>
        <v>0.17313008722332385</v>
      </c>
      <c r="E129">
        <f ca="1">'Modello P-C SJF'!$E129</f>
        <v>118.16231322389316</v>
      </c>
      <c r="G129">
        <f ca="1">'Modello P-C SJF'!$G129</f>
        <v>0.45084215954819773</v>
      </c>
      <c r="H129">
        <f ca="1">'Modello P-C SJF'!$H129</f>
        <v>0.84542814373460373</v>
      </c>
      <c r="I129">
        <f t="shared" ca="1" si="34"/>
        <v>133.15961078419593</v>
      </c>
      <c r="K129" s="2" t="s">
        <v>79</v>
      </c>
      <c r="O129">
        <f t="shared" ca="1" si="28"/>
        <v>14.997297560302769</v>
      </c>
      <c r="P129">
        <f t="shared" ca="1" si="29"/>
        <v>14.151869</v>
      </c>
      <c r="Q129">
        <f t="shared" ca="1" si="35"/>
        <v>14.151869416568205</v>
      </c>
      <c r="S129">
        <f t="shared" ca="1" si="30"/>
        <v>121</v>
      </c>
      <c r="T129">
        <f t="shared" ca="1" si="31"/>
        <v>109</v>
      </c>
      <c r="U129">
        <f t="shared" ca="1" si="32"/>
        <v>12</v>
      </c>
    </row>
    <row r="130" spans="1:21" x14ac:dyDescent="0.3">
      <c r="A130">
        <f t="shared" si="33"/>
        <v>122</v>
      </c>
      <c r="B130" t="s">
        <v>78</v>
      </c>
      <c r="C130">
        <f ca="1">'Modello P-C SJF'!$C130</f>
        <v>0.23273768816010287</v>
      </c>
      <c r="D130">
        <f ca="1">'Modello P-C SJF'!$D130</f>
        <v>1.4578432614953794</v>
      </c>
      <c r="E130">
        <f ca="1">'Modello P-C SJF'!$E130</f>
        <v>119.62015648538855</v>
      </c>
      <c r="G130">
        <f ca="1">'Modello P-C SJF'!$G130</f>
        <v>0.46299017311579005</v>
      </c>
      <c r="H130">
        <f ca="1">'Modello P-C SJF'!$H130</f>
        <v>0.81883961366251901</v>
      </c>
      <c r="I130">
        <f t="shared" ca="1" si="34"/>
        <v>133.97845039785847</v>
      </c>
      <c r="K130" s="2" t="s">
        <v>78</v>
      </c>
      <c r="O130">
        <f t="shared" ca="1" si="28"/>
        <v>14.358293912469918</v>
      </c>
      <c r="P130">
        <f t="shared" ca="1" si="29"/>
        <v>13.539453999999999</v>
      </c>
      <c r="Q130">
        <f t="shared" ca="1" si="35"/>
        <v>13.53945429880743</v>
      </c>
      <c r="S130">
        <f t="shared" ca="1" si="30"/>
        <v>122</v>
      </c>
      <c r="T130">
        <f t="shared" ca="1" si="31"/>
        <v>109</v>
      </c>
      <c r="U130">
        <f t="shared" ca="1" si="32"/>
        <v>13</v>
      </c>
    </row>
    <row r="131" spans="1:21" x14ac:dyDescent="0.3">
      <c r="A131">
        <f t="shared" si="33"/>
        <v>123</v>
      </c>
      <c r="B131" t="s">
        <v>77</v>
      </c>
      <c r="C131">
        <f ca="1">'Modello P-C SJF'!$C131</f>
        <v>0.32387791065578597</v>
      </c>
      <c r="D131">
        <f ca="1">'Modello P-C SJF'!$D131</f>
        <v>1.127388653167537</v>
      </c>
      <c r="E131">
        <f ca="1">'Modello P-C SJF'!$E131</f>
        <v>120.74754513855609</v>
      </c>
      <c r="G131">
        <f ca="1">'Modello P-C SJF'!$G131</f>
        <v>0.30842948556081518</v>
      </c>
      <c r="H131">
        <f ca="1">'Modello P-C SJF'!$H131</f>
        <v>1.2250521978587154</v>
      </c>
      <c r="I131">
        <f t="shared" ca="1" si="34"/>
        <v>135.20350259571717</v>
      </c>
      <c r="K131" s="2" t="s">
        <v>77</v>
      </c>
      <c r="O131">
        <f t="shared" ca="1" si="28"/>
        <v>14.455957457161077</v>
      </c>
      <c r="P131">
        <f t="shared" ca="1" si="29"/>
        <v>13.230905</v>
      </c>
      <c r="Q131">
        <f t="shared" ca="1" si="35"/>
        <v>13.230905259302411</v>
      </c>
      <c r="S131">
        <f t="shared" ca="1" si="30"/>
        <v>123</v>
      </c>
      <c r="T131">
        <f t="shared" ca="1" si="31"/>
        <v>110</v>
      </c>
      <c r="U131">
        <f t="shared" ca="1" si="32"/>
        <v>13</v>
      </c>
    </row>
    <row r="132" spans="1:21" x14ac:dyDescent="0.3">
      <c r="A132">
        <f t="shared" si="33"/>
        <v>124</v>
      </c>
      <c r="B132" t="s">
        <v>76</v>
      </c>
      <c r="C132">
        <f ca="1">'Modello P-C SJF'!$C132</f>
        <v>0.46744290777362019</v>
      </c>
      <c r="D132">
        <f ca="1">'Modello P-C SJF'!$D132</f>
        <v>0.76047806012031249</v>
      </c>
      <c r="E132">
        <f ca="1">'Modello P-C SJF'!$E132</f>
        <v>121.5080231986764</v>
      </c>
      <c r="G132">
        <f ca="1">'Modello P-C SJF'!$G132</f>
        <v>4.3377840030420223E-2</v>
      </c>
      <c r="H132">
        <f ca="1">'Modello P-C SJF'!$H132</f>
        <v>3.1865967308223655</v>
      </c>
      <c r="I132">
        <f t="shared" ca="1" si="34"/>
        <v>138.39009932653954</v>
      </c>
      <c r="K132" s="2" t="s">
        <v>76</v>
      </c>
      <c r="O132">
        <f t="shared" ca="1" si="28"/>
        <v>16.882076127863144</v>
      </c>
      <c r="P132">
        <f t="shared" ca="1" si="29"/>
        <v>13.695479000000001</v>
      </c>
      <c r="Q132">
        <f t="shared" ca="1" si="35"/>
        <v>13.695479397040813</v>
      </c>
      <c r="S132">
        <f t="shared" ca="1" si="30"/>
        <v>124</v>
      </c>
      <c r="T132">
        <f t="shared" ca="1" si="31"/>
        <v>110</v>
      </c>
      <c r="U132">
        <f t="shared" ca="1" si="32"/>
        <v>14</v>
      </c>
    </row>
    <row r="133" spans="1:21" x14ac:dyDescent="0.3">
      <c r="A133">
        <f t="shared" si="33"/>
        <v>125</v>
      </c>
      <c r="B133" t="s">
        <v>75</v>
      </c>
      <c r="C133">
        <f ca="1">'Modello P-C SJF'!$C133</f>
        <v>0.10928519618745258</v>
      </c>
      <c r="D133">
        <f ca="1">'Modello P-C SJF'!$D133</f>
        <v>2.2137943349905598</v>
      </c>
      <c r="E133">
        <f ca="1">'Modello P-C SJF'!$E133</f>
        <v>123.72181753366695</v>
      </c>
      <c r="G133">
        <f ca="1">'Modello P-C SJF'!$G133</f>
        <v>0.19594876645782555</v>
      </c>
      <c r="H133">
        <f ca="1">'Modello P-C SJF'!$H133</f>
        <v>1.6786922137141815</v>
      </c>
      <c r="I133">
        <f t="shared" ca="1" si="34"/>
        <v>140.06879154025373</v>
      </c>
      <c r="K133" s="2" t="s">
        <v>75</v>
      </c>
      <c r="O133">
        <f t="shared" ca="1" si="28"/>
        <v>16.346974006586777</v>
      </c>
      <c r="P133">
        <f t="shared" ca="1" si="29"/>
        <v>14.668282</v>
      </c>
      <c r="Q133">
        <f t="shared" ca="1" si="35"/>
        <v>14.668281792872619</v>
      </c>
      <c r="S133">
        <f t="shared" ca="1" si="30"/>
        <v>125</v>
      </c>
      <c r="T133">
        <f t="shared" ca="1" si="31"/>
        <v>111</v>
      </c>
      <c r="U133">
        <f t="shared" ca="1" si="32"/>
        <v>14</v>
      </c>
    </row>
    <row r="134" spans="1:21" x14ac:dyDescent="0.3">
      <c r="A134">
        <f t="shared" si="33"/>
        <v>126</v>
      </c>
      <c r="B134" t="s">
        <v>74</v>
      </c>
      <c r="C134">
        <f ca="1">'Modello P-C SJF'!$C134</f>
        <v>0.77041220706344604</v>
      </c>
      <c r="D134">
        <f ca="1">'Modello P-C SJF'!$D134</f>
        <v>0.26082957352582248</v>
      </c>
      <c r="E134">
        <f ca="1">'Modello P-C SJF'!$E134</f>
        <v>123.98264710719278</v>
      </c>
      <c r="G134">
        <f ca="1">'Modello P-C SJF'!$G134</f>
        <v>0.70878875775607364</v>
      </c>
      <c r="H134">
        <f ca="1">'Modello P-C SJF'!$H134</f>
        <v>0.39298790494010494</v>
      </c>
      <c r="I134">
        <f t="shared" ca="1" si="34"/>
        <v>140.46177944519383</v>
      </c>
      <c r="K134" s="2" t="s">
        <v>74</v>
      </c>
      <c r="O134">
        <f t="shared" ca="1" si="28"/>
        <v>16.479132338001051</v>
      </c>
      <c r="P134">
        <f t="shared" ca="1" si="29"/>
        <v>16.086144000000001</v>
      </c>
      <c r="Q134">
        <f t="shared" ca="1" si="35"/>
        <v>16.08614443306098</v>
      </c>
      <c r="S134">
        <f t="shared" ca="1" si="30"/>
        <v>126</v>
      </c>
      <c r="T134">
        <f t="shared" ca="1" si="31"/>
        <v>111</v>
      </c>
      <c r="U134">
        <f t="shared" ca="1" si="32"/>
        <v>15</v>
      </c>
    </row>
    <row r="135" spans="1:21" x14ac:dyDescent="0.3">
      <c r="A135">
        <f t="shared" si="33"/>
        <v>127</v>
      </c>
      <c r="B135" t="s">
        <v>73</v>
      </c>
      <c r="C135">
        <f ca="1">'Modello P-C SJF'!$C135</f>
        <v>0.35488396050425774</v>
      </c>
      <c r="D135">
        <f ca="1">'Modello P-C SJF'!$D135</f>
        <v>1.0359644147599509</v>
      </c>
      <c r="E135">
        <f ca="1">'Modello P-C SJF'!$E135</f>
        <v>125.01861152195272</v>
      </c>
      <c r="G135">
        <f ca="1">'Modello P-C SJF'!$G135</f>
        <v>0.48216865388535357</v>
      </c>
      <c r="H135">
        <f ca="1">'Modello P-C SJF'!$H135</f>
        <v>0.77825148597675176</v>
      </c>
      <c r="I135">
        <f t="shared" ca="1" si="34"/>
        <v>141.24003093117057</v>
      </c>
      <c r="K135" s="2" t="s">
        <v>73</v>
      </c>
      <c r="O135">
        <f t="shared" ca="1" si="28"/>
        <v>16.221419409217845</v>
      </c>
      <c r="P135">
        <f t="shared" ca="1" si="29"/>
        <v>15.443168</v>
      </c>
      <c r="Q135">
        <f t="shared" ca="1" si="35"/>
        <v>15.443167923241136</v>
      </c>
      <c r="S135">
        <f t="shared" ca="1" si="30"/>
        <v>127</v>
      </c>
      <c r="T135">
        <f t="shared" ca="1" si="31"/>
        <v>112</v>
      </c>
      <c r="U135">
        <f t="shared" ca="1" si="32"/>
        <v>15</v>
      </c>
    </row>
    <row r="136" spans="1:21" x14ac:dyDescent="0.3">
      <c r="A136">
        <f t="shared" si="33"/>
        <v>128</v>
      </c>
      <c r="B136" t="s">
        <v>72</v>
      </c>
      <c r="C136">
        <f ca="1">'Modello P-C SJF'!$C136</f>
        <v>7.532975593061042E-2</v>
      </c>
      <c r="D136">
        <f ca="1">'Modello P-C SJF'!$D136</f>
        <v>2.5858800571522993</v>
      </c>
      <c r="E136">
        <f ca="1">'Modello P-C SJF'!$E136</f>
        <v>127.60449157910502</v>
      </c>
      <c r="G136">
        <f ca="1">'Modello P-C SJF'!$G136</f>
        <v>0.64059982674031024</v>
      </c>
      <c r="H136">
        <f ca="1">'Modello P-C SJF'!$H136</f>
        <v>0.49414047644125247</v>
      </c>
      <c r="I136">
        <f t="shared" ca="1" si="34"/>
        <v>141.73417140761183</v>
      </c>
      <c r="K136" s="2" t="s">
        <v>72</v>
      </c>
      <c r="O136">
        <f t="shared" ca="1" si="28"/>
        <v>14.129679828506809</v>
      </c>
      <c r="P136">
        <f t="shared" ca="1" si="29"/>
        <v>13.635539</v>
      </c>
      <c r="Q136">
        <f t="shared" ca="1" si="35"/>
        <v>13.635539352065589</v>
      </c>
      <c r="S136">
        <f t="shared" ca="1" si="30"/>
        <v>128</v>
      </c>
      <c r="T136">
        <f t="shared" ca="1" si="31"/>
        <v>113</v>
      </c>
      <c r="U136">
        <f t="shared" ca="1" si="32"/>
        <v>15</v>
      </c>
    </row>
    <row r="137" spans="1:21" x14ac:dyDescent="0.3">
      <c r="A137">
        <f t="shared" si="33"/>
        <v>129</v>
      </c>
      <c r="B137" t="s">
        <v>71</v>
      </c>
      <c r="C137">
        <f ca="1">'Modello P-C SJF'!$C137</f>
        <v>0.48270954541124012</v>
      </c>
      <c r="D137">
        <f ca="1">'Modello P-C SJF'!$D137</f>
        <v>0.72834016147238978</v>
      </c>
      <c r="E137">
        <f ca="1">'Modello P-C SJF'!$E137</f>
        <v>128.3328317405774</v>
      </c>
      <c r="G137">
        <f ca="1">'Modello P-C SJF'!$G137</f>
        <v>0.6875748916628196</v>
      </c>
      <c r="H137">
        <f ca="1">'Modello P-C SJF'!$H137</f>
        <v>0.42337468621590929</v>
      </c>
      <c r="I137">
        <f t="shared" ca="1" si="34"/>
        <v>142.15754609382773</v>
      </c>
      <c r="K137" s="2" t="s">
        <v>71</v>
      </c>
      <c r="O137">
        <f t="shared" ref="O137:O168" ca="1" si="36">$I137-$E137</f>
        <v>13.824714353250329</v>
      </c>
      <c r="P137">
        <f t="shared" ref="P137:P168" ca="1" si="37">MAX(0, ROUND($O137-$H137, 6))</f>
        <v>13.401339999999999</v>
      </c>
      <c r="Q137">
        <f t="shared" ca="1" si="35"/>
        <v>13.401339667034451</v>
      </c>
      <c r="S137">
        <f t="shared" ref="S137:S168" ca="1" si="38">COUNTIF($E$9:$E$208, "&lt;=" &amp;$E137)</f>
        <v>129</v>
      </c>
      <c r="T137">
        <f t="shared" ref="T137:T168" ca="1" si="39">COUNTIF($I$9:$I$208, "&lt;=" &amp;$E137)</f>
        <v>114</v>
      </c>
      <c r="U137">
        <f t="shared" ref="U137:U168" ca="1" si="40">$S137-$T137</f>
        <v>15</v>
      </c>
    </row>
    <row r="138" spans="1:21" x14ac:dyDescent="0.3">
      <c r="A138">
        <f t="shared" ref="A138:A169" si="41">$A137 + 1</f>
        <v>130</v>
      </c>
      <c r="B138" t="s">
        <v>70</v>
      </c>
      <c r="C138">
        <f ca="1">'Modello P-C SJF'!$C138</f>
        <v>0.38949761097223046</v>
      </c>
      <c r="D138">
        <f ca="1">'Modello P-C SJF'!$D138</f>
        <v>0.94289754726593289</v>
      </c>
      <c r="E138">
        <f ca="1">'Modello P-C SJF'!$E138</f>
        <v>129.27572928784335</v>
      </c>
      <c r="G138">
        <f ca="1">'Modello P-C SJF'!$G138</f>
        <v>0.73772321693882659</v>
      </c>
      <c r="H138">
        <f ca="1">'Modello P-C SJF'!$H138</f>
        <v>0.35297673369632432</v>
      </c>
      <c r="I138">
        <f t="shared" ref="I138:I169" ca="1" si="42">MAX($E138+$H138, $H138+$I137)</f>
        <v>142.51052282752406</v>
      </c>
      <c r="K138" s="2" t="s">
        <v>70</v>
      </c>
      <c r="O138">
        <f t="shared" ca="1" si="36"/>
        <v>13.234793539680709</v>
      </c>
      <c r="P138">
        <f t="shared" ca="1" si="37"/>
        <v>12.881817</v>
      </c>
      <c r="Q138">
        <f t="shared" ref="Q138:Q169" ca="1" si="43">MAX(0,$Q137+$H137-$D138)</f>
        <v>12.881816805984428</v>
      </c>
      <c r="S138">
        <f t="shared" ca="1" si="38"/>
        <v>130</v>
      </c>
      <c r="T138">
        <f t="shared" ca="1" si="39"/>
        <v>117</v>
      </c>
      <c r="U138">
        <f t="shared" ca="1" si="40"/>
        <v>13</v>
      </c>
    </row>
    <row r="139" spans="1:21" x14ac:dyDescent="0.3">
      <c r="A139">
        <f t="shared" si="41"/>
        <v>131</v>
      </c>
      <c r="B139" t="s">
        <v>69</v>
      </c>
      <c r="C139">
        <f ca="1">'Modello P-C SJF'!$C139</f>
        <v>3.916608475240746E-2</v>
      </c>
      <c r="D139">
        <f ca="1">'Modello P-C SJF'!$D139</f>
        <v>3.2399440915617466</v>
      </c>
      <c r="E139">
        <f ca="1">'Modello P-C SJF'!$E139</f>
        <v>132.51567337940509</v>
      </c>
      <c r="G139">
        <f ca="1">'Modello P-C SJF'!$G139</f>
        <v>0.62917633852241506</v>
      </c>
      <c r="H139">
        <f ca="1">'Modello P-C SJF'!$H139</f>
        <v>0.51213387832869683</v>
      </c>
      <c r="I139">
        <f t="shared" ca="1" si="42"/>
        <v>143.02265670585274</v>
      </c>
      <c r="K139" s="2" t="s">
        <v>69</v>
      </c>
      <c r="O139">
        <f t="shared" ca="1" si="36"/>
        <v>10.506983326447653</v>
      </c>
      <c r="P139">
        <f t="shared" ca="1" si="37"/>
        <v>9.9948490000000003</v>
      </c>
      <c r="Q139">
        <f t="shared" ca="1" si="43"/>
        <v>9.9948494481190071</v>
      </c>
      <c r="S139">
        <f t="shared" ca="1" si="38"/>
        <v>131</v>
      </c>
      <c r="T139">
        <f t="shared" ca="1" si="39"/>
        <v>120</v>
      </c>
      <c r="U139">
        <f t="shared" ca="1" si="40"/>
        <v>11</v>
      </c>
    </row>
    <row r="140" spans="1:21" x14ac:dyDescent="0.3">
      <c r="A140">
        <f t="shared" si="41"/>
        <v>132</v>
      </c>
      <c r="B140" t="s">
        <v>68</v>
      </c>
      <c r="C140">
        <f ca="1">'Modello P-C SJF'!$C140</f>
        <v>0.60619004731068149</v>
      </c>
      <c r="D140">
        <f ca="1">'Modello P-C SJF'!$D140</f>
        <v>0.50056173265441217</v>
      </c>
      <c r="E140">
        <f ca="1">'Modello P-C SJF'!$E140</f>
        <v>133.01623511205949</v>
      </c>
      <c r="G140">
        <f ca="1">'Modello P-C SJF'!$G140</f>
        <v>0.22639165372671766</v>
      </c>
      <c r="H140">
        <f ca="1">'Modello P-C SJF'!$H140</f>
        <v>1.5342789626667528</v>
      </c>
      <c r="I140">
        <f t="shared" ca="1" si="42"/>
        <v>144.55693566851949</v>
      </c>
      <c r="K140" s="2" t="s">
        <v>68</v>
      </c>
      <c r="O140">
        <f t="shared" ca="1" si="36"/>
        <v>11.540700556459996</v>
      </c>
      <c r="P140">
        <f t="shared" ca="1" si="37"/>
        <v>10.006422000000001</v>
      </c>
      <c r="Q140">
        <f t="shared" ca="1" si="43"/>
        <v>10.006421593793291</v>
      </c>
      <c r="S140">
        <f t="shared" ca="1" si="38"/>
        <v>132</v>
      </c>
      <c r="T140">
        <f t="shared" ca="1" si="39"/>
        <v>120</v>
      </c>
      <c r="U140">
        <f t="shared" ca="1" si="40"/>
        <v>12</v>
      </c>
    </row>
    <row r="141" spans="1:21" x14ac:dyDescent="0.3">
      <c r="A141">
        <f t="shared" si="41"/>
        <v>133</v>
      </c>
      <c r="B141" t="s">
        <v>67</v>
      </c>
      <c r="C141">
        <f ca="1">'Modello P-C SJF'!$C141</f>
        <v>0.26951548554839377</v>
      </c>
      <c r="D141">
        <f ca="1">'Modello P-C SJF'!$D141</f>
        <v>1.3111294299929785</v>
      </c>
      <c r="E141">
        <f ca="1">'Modello P-C SJF'!$E141</f>
        <v>134.32736454205246</v>
      </c>
      <c r="G141">
        <f ca="1">'Modello P-C SJF'!$G141</f>
        <v>0.51101814854222327</v>
      </c>
      <c r="H141">
        <f ca="1">'Modello P-C SJF'!$H141</f>
        <v>0.7201403378403276</v>
      </c>
      <c r="I141">
        <f t="shared" ca="1" si="42"/>
        <v>145.27707600635981</v>
      </c>
      <c r="K141" s="2" t="s">
        <v>67</v>
      </c>
      <c r="O141">
        <f t="shared" ca="1" si="36"/>
        <v>10.949711464307342</v>
      </c>
      <c r="P141">
        <f t="shared" ca="1" si="37"/>
        <v>10.229571</v>
      </c>
      <c r="Q141">
        <f t="shared" ca="1" si="43"/>
        <v>10.229571126467064</v>
      </c>
      <c r="S141">
        <f t="shared" ca="1" si="38"/>
        <v>133</v>
      </c>
      <c r="T141">
        <f t="shared" ca="1" si="39"/>
        <v>122</v>
      </c>
      <c r="U141">
        <f t="shared" ca="1" si="40"/>
        <v>11</v>
      </c>
    </row>
    <row r="142" spans="1:21" x14ac:dyDescent="0.3">
      <c r="A142">
        <f t="shared" si="41"/>
        <v>134</v>
      </c>
      <c r="B142" t="s">
        <v>66</v>
      </c>
      <c r="C142">
        <f ca="1">'Modello P-C SJF'!$C142</f>
        <v>0.27522769322575091</v>
      </c>
      <c r="D142">
        <f ca="1">'Modello P-C SJF'!$D142</f>
        <v>1.2901565485317157</v>
      </c>
      <c r="E142">
        <f ca="1">'Modello P-C SJF'!$E142</f>
        <v>135.61752109058418</v>
      </c>
      <c r="G142">
        <f ca="1">'Modello P-C SJF'!$G142</f>
        <v>0.7419618508385345</v>
      </c>
      <c r="H142">
        <f ca="1">'Modello P-C SJF'!$H142</f>
        <v>0.34724761527017112</v>
      </c>
      <c r="I142">
        <f t="shared" ca="1" si="42"/>
        <v>145.62432362162997</v>
      </c>
      <c r="K142" s="2" t="s">
        <v>66</v>
      </c>
      <c r="O142">
        <f t="shared" ca="1" si="36"/>
        <v>10.006802531045793</v>
      </c>
      <c r="P142">
        <f t="shared" ca="1" si="37"/>
        <v>9.6595549999999992</v>
      </c>
      <c r="Q142">
        <f t="shared" ca="1" si="43"/>
        <v>9.6595549157756757</v>
      </c>
      <c r="S142">
        <f t="shared" ca="1" si="38"/>
        <v>134</v>
      </c>
      <c r="T142">
        <f t="shared" ca="1" si="39"/>
        <v>123</v>
      </c>
      <c r="U142">
        <f t="shared" ca="1" si="40"/>
        <v>11</v>
      </c>
    </row>
    <row r="143" spans="1:21" x14ac:dyDescent="0.3">
      <c r="A143">
        <f t="shared" si="41"/>
        <v>135</v>
      </c>
      <c r="B143" t="s">
        <v>65</v>
      </c>
      <c r="C143">
        <f ca="1">'Modello P-C SJF'!$C143</f>
        <v>0.7482745602249915</v>
      </c>
      <c r="D143">
        <f ca="1">'Modello P-C SJF'!$D143</f>
        <v>0.2899853092330596</v>
      </c>
      <c r="E143">
        <f ca="1">'Modello P-C SJF'!$E143</f>
        <v>135.90750639981724</v>
      </c>
      <c r="G143">
        <f ca="1">'Modello P-C SJF'!$G143</f>
        <v>0.75286496583542417</v>
      </c>
      <c r="H143">
        <f ca="1">'Modello P-C SJF'!$H143</f>
        <v>0.33265955967271543</v>
      </c>
      <c r="I143">
        <f t="shared" ca="1" si="42"/>
        <v>145.95698318130269</v>
      </c>
      <c r="K143" s="2" t="s">
        <v>65</v>
      </c>
      <c r="O143">
        <f t="shared" ca="1" si="36"/>
        <v>10.049476781485453</v>
      </c>
      <c r="P143">
        <f t="shared" ca="1" si="37"/>
        <v>9.7168170000000007</v>
      </c>
      <c r="Q143">
        <f t="shared" ca="1" si="43"/>
        <v>9.7168172218127857</v>
      </c>
      <c r="S143">
        <f t="shared" ca="1" si="38"/>
        <v>135</v>
      </c>
      <c r="T143">
        <f t="shared" ca="1" si="39"/>
        <v>123</v>
      </c>
      <c r="U143">
        <f t="shared" ca="1" si="40"/>
        <v>12</v>
      </c>
    </row>
    <row r="144" spans="1:21" x14ac:dyDescent="0.3">
      <c r="A144">
        <f t="shared" si="41"/>
        <v>136</v>
      </c>
      <c r="B144" t="s">
        <v>64</v>
      </c>
      <c r="C144">
        <f ca="1">'Modello P-C SJF'!$C144</f>
        <v>0.67035338996143312</v>
      </c>
      <c r="D144">
        <f ca="1">'Modello P-C SJF'!$D144</f>
        <v>0.399950257945141</v>
      </c>
      <c r="E144">
        <f ca="1">'Modello P-C SJF'!$E144</f>
        <v>136.30745665776237</v>
      </c>
      <c r="G144">
        <f ca="1">'Modello P-C SJF'!$G144</f>
        <v>0.24573374995866926</v>
      </c>
      <c r="H144">
        <f ca="1">'Modello P-C SJF'!$H144</f>
        <v>1.4522968105886493</v>
      </c>
      <c r="I144">
        <f t="shared" ca="1" si="42"/>
        <v>147.40927999189134</v>
      </c>
      <c r="K144" s="2" t="s">
        <v>64</v>
      </c>
      <c r="O144">
        <f t="shared" ca="1" si="36"/>
        <v>11.101823334128966</v>
      </c>
      <c r="P144">
        <f t="shared" ca="1" si="37"/>
        <v>9.6495270000000009</v>
      </c>
      <c r="Q144">
        <f t="shared" ca="1" si="43"/>
        <v>9.6495265235403593</v>
      </c>
      <c r="S144">
        <f t="shared" ca="1" si="38"/>
        <v>136</v>
      </c>
      <c r="T144">
        <f t="shared" ca="1" si="39"/>
        <v>123</v>
      </c>
      <c r="U144">
        <f t="shared" ca="1" si="40"/>
        <v>13</v>
      </c>
    </row>
    <row r="145" spans="1:21" x14ac:dyDescent="0.3">
      <c r="A145">
        <f t="shared" si="41"/>
        <v>137</v>
      </c>
      <c r="B145" t="s">
        <v>63</v>
      </c>
      <c r="C145">
        <f ca="1">'Modello P-C SJF'!$C145</f>
        <v>0.39037395907875327</v>
      </c>
      <c r="D145">
        <f ca="1">'Modello P-C SJF'!$D145</f>
        <v>0.94065012984737861</v>
      </c>
      <c r="E145">
        <f ca="1">'Modello P-C SJF'!$E145</f>
        <v>137.24810678760974</v>
      </c>
      <c r="G145">
        <f ca="1">'Modello P-C SJF'!$G145</f>
        <v>0.54633089358839892</v>
      </c>
      <c r="H145">
        <f ca="1">'Modello P-C SJF'!$H145</f>
        <v>0.65332061875684122</v>
      </c>
      <c r="I145">
        <f t="shared" ca="1" si="42"/>
        <v>148.06260061064819</v>
      </c>
      <c r="K145" s="2" t="s">
        <v>63</v>
      </c>
      <c r="O145">
        <f t="shared" ca="1" si="36"/>
        <v>10.814493823038447</v>
      </c>
      <c r="P145">
        <f t="shared" ca="1" si="37"/>
        <v>10.161173</v>
      </c>
      <c r="Q145">
        <f t="shared" ca="1" si="43"/>
        <v>10.16117320428163</v>
      </c>
      <c r="S145">
        <f t="shared" ca="1" si="38"/>
        <v>137</v>
      </c>
      <c r="T145">
        <f t="shared" ca="1" si="39"/>
        <v>123</v>
      </c>
      <c r="U145">
        <f t="shared" ca="1" si="40"/>
        <v>14</v>
      </c>
    </row>
    <row r="146" spans="1:21" x14ac:dyDescent="0.3">
      <c r="A146">
        <f t="shared" si="41"/>
        <v>138</v>
      </c>
      <c r="B146" t="s">
        <v>62</v>
      </c>
      <c r="C146">
        <f ca="1">'Modello P-C SJF'!$C146</f>
        <v>0.32423827136606487</v>
      </c>
      <c r="D146">
        <f ca="1">'Modello P-C SJF'!$D146</f>
        <v>1.1262766280170775</v>
      </c>
      <c r="E146">
        <f ca="1">'Modello P-C SJF'!$E146</f>
        <v>138.37438341562682</v>
      </c>
      <c r="G146">
        <f ca="1">'Modello P-C SJF'!$G146</f>
        <v>0.30551592226615121</v>
      </c>
      <c r="H146">
        <f ca="1">'Modello P-C SJF'!$H146</f>
        <v>1.2345435471872461</v>
      </c>
      <c r="I146">
        <f t="shared" ca="1" si="42"/>
        <v>149.29714415783545</v>
      </c>
      <c r="K146" s="2" t="s">
        <v>62</v>
      </c>
      <c r="O146">
        <f t="shared" ca="1" si="36"/>
        <v>10.922760742208624</v>
      </c>
      <c r="P146">
        <f t="shared" ca="1" si="37"/>
        <v>9.6882169999999999</v>
      </c>
      <c r="Q146">
        <f t="shared" ca="1" si="43"/>
        <v>9.6882171950213944</v>
      </c>
      <c r="S146">
        <f t="shared" ca="1" si="38"/>
        <v>138</v>
      </c>
      <c r="T146">
        <f t="shared" ca="1" si="39"/>
        <v>123</v>
      </c>
      <c r="U146">
        <f t="shared" ca="1" si="40"/>
        <v>15</v>
      </c>
    </row>
    <row r="147" spans="1:21" x14ac:dyDescent="0.3">
      <c r="A147">
        <f t="shared" si="41"/>
        <v>139</v>
      </c>
      <c r="B147" t="s">
        <v>61</v>
      </c>
      <c r="C147">
        <f ca="1">'Modello P-C SJF'!$C147</f>
        <v>0.91481585334189441</v>
      </c>
      <c r="D147">
        <f ca="1">'Modello P-C SJF'!$D147</f>
        <v>8.9032487139011601E-2</v>
      </c>
      <c r="E147">
        <f ca="1">'Modello P-C SJF'!$E147</f>
        <v>138.46341590276583</v>
      </c>
      <c r="G147">
        <f ca="1">'Modello P-C SJF'!$G147</f>
        <v>0.64860736442892597</v>
      </c>
      <c r="H147">
        <f ca="1">'Modello P-C SJF'!$H147</f>
        <v>0.48171789499664136</v>
      </c>
      <c r="I147">
        <f t="shared" ca="1" si="42"/>
        <v>149.7788620528321</v>
      </c>
      <c r="K147" s="2" t="s">
        <v>61</v>
      </c>
      <c r="O147">
        <f t="shared" ca="1" si="36"/>
        <v>11.315446150066265</v>
      </c>
      <c r="P147">
        <f t="shared" ca="1" si="37"/>
        <v>10.833728000000001</v>
      </c>
      <c r="Q147">
        <f t="shared" ca="1" si="43"/>
        <v>10.83372825506963</v>
      </c>
      <c r="S147">
        <f t="shared" ca="1" si="38"/>
        <v>139</v>
      </c>
      <c r="T147">
        <f t="shared" ca="1" si="39"/>
        <v>124</v>
      </c>
      <c r="U147">
        <f t="shared" ca="1" si="40"/>
        <v>15</v>
      </c>
    </row>
    <row r="148" spans="1:21" x14ac:dyDescent="0.3">
      <c r="A148">
        <f t="shared" si="41"/>
        <v>140</v>
      </c>
      <c r="B148" t="s">
        <v>60</v>
      </c>
      <c r="C148">
        <f ca="1">'Modello P-C SJF'!$C148</f>
        <v>0.81678119761084289</v>
      </c>
      <c r="D148">
        <f ca="1">'Modello P-C SJF'!$D148</f>
        <v>0.2023840319719995</v>
      </c>
      <c r="E148">
        <f ca="1">'Modello P-C SJF'!$E148</f>
        <v>138.66579993473783</v>
      </c>
      <c r="G148">
        <f ca="1">'Modello P-C SJF'!$G148</f>
        <v>0.10567629513625032</v>
      </c>
      <c r="H148">
        <f ca="1">'Modello P-C SJF'!$H148</f>
        <v>2.2961648409304272</v>
      </c>
      <c r="I148">
        <f t="shared" ca="1" si="42"/>
        <v>152.07502689376253</v>
      </c>
      <c r="K148" s="2" t="s">
        <v>60</v>
      </c>
      <c r="O148">
        <f t="shared" ca="1" si="36"/>
        <v>13.409226959024693</v>
      </c>
      <c r="P148">
        <f t="shared" ca="1" si="37"/>
        <v>11.113061999999999</v>
      </c>
      <c r="Q148">
        <f t="shared" ca="1" si="43"/>
        <v>11.113062118094273</v>
      </c>
      <c r="S148">
        <f t="shared" ca="1" si="38"/>
        <v>140</v>
      </c>
      <c r="T148">
        <f t="shared" ca="1" si="39"/>
        <v>124</v>
      </c>
      <c r="U148">
        <f t="shared" ca="1" si="40"/>
        <v>16</v>
      </c>
    </row>
    <row r="149" spans="1:21" x14ac:dyDescent="0.3">
      <c r="A149">
        <f t="shared" si="41"/>
        <v>141</v>
      </c>
      <c r="B149" t="s">
        <v>59</v>
      </c>
      <c r="C149">
        <f ca="1">'Modello P-C SJF'!$C149</f>
        <v>0.66444954030025583</v>
      </c>
      <c r="D149">
        <f ca="1">'Modello P-C SJF'!$D149</f>
        <v>0.40879634005487719</v>
      </c>
      <c r="E149">
        <f ca="1">'Modello P-C SJF'!$E149</f>
        <v>139.0745962747927</v>
      </c>
      <c r="G149">
        <f ca="1">'Modello P-C SJF'!$G149</f>
        <v>0.45372305478823993</v>
      </c>
      <c r="H149">
        <f ca="1">'Modello P-C SJF'!$H149</f>
        <v>0.8390584427225708</v>
      </c>
      <c r="I149">
        <f t="shared" ca="1" si="42"/>
        <v>152.9140853364851</v>
      </c>
      <c r="K149" s="2" t="s">
        <v>59</v>
      </c>
      <c r="O149">
        <f t="shared" ca="1" si="36"/>
        <v>13.839489061692404</v>
      </c>
      <c r="P149">
        <f t="shared" ca="1" si="37"/>
        <v>13.000431000000001</v>
      </c>
      <c r="Q149">
        <f t="shared" ca="1" si="43"/>
        <v>13.000430618969823</v>
      </c>
      <c r="S149">
        <f t="shared" ca="1" si="38"/>
        <v>141</v>
      </c>
      <c r="T149">
        <f t="shared" ca="1" si="39"/>
        <v>124</v>
      </c>
      <c r="U149">
        <f t="shared" ca="1" si="40"/>
        <v>17</v>
      </c>
    </row>
    <row r="150" spans="1:21" x14ac:dyDescent="0.3">
      <c r="A150">
        <f t="shared" si="41"/>
        <v>142</v>
      </c>
      <c r="B150" t="s">
        <v>58</v>
      </c>
      <c r="C150">
        <f ca="1">'Modello P-C SJF'!$C150</f>
        <v>9.1307700673931791E-2</v>
      </c>
      <c r="D150">
        <f ca="1">'Modello P-C SJF'!$D150</f>
        <v>2.3935201502071242</v>
      </c>
      <c r="E150">
        <f ca="1">'Modello P-C SJF'!$E150</f>
        <v>141.46811642499983</v>
      </c>
      <c r="G150">
        <f ca="1">'Modello P-C SJF'!$G150</f>
        <v>0.77176477457531867</v>
      </c>
      <c r="H150">
        <f ca="1">'Modello P-C SJF'!$H150</f>
        <v>0.30786563570205533</v>
      </c>
      <c r="I150">
        <f t="shared" ca="1" si="42"/>
        <v>153.22195097218716</v>
      </c>
      <c r="K150" s="2" t="s">
        <v>58</v>
      </c>
      <c r="O150">
        <f t="shared" ca="1" si="36"/>
        <v>11.753834547187324</v>
      </c>
      <c r="P150">
        <f t="shared" ca="1" si="37"/>
        <v>11.445969</v>
      </c>
      <c r="Q150">
        <f t="shared" ca="1" si="43"/>
        <v>11.44596891148527</v>
      </c>
      <c r="S150">
        <f t="shared" ca="1" si="38"/>
        <v>142</v>
      </c>
      <c r="T150">
        <f t="shared" ca="1" si="39"/>
        <v>127</v>
      </c>
      <c r="U150">
        <f t="shared" ca="1" si="40"/>
        <v>15</v>
      </c>
    </row>
    <row r="151" spans="1:21" x14ac:dyDescent="0.3">
      <c r="A151">
        <f t="shared" si="41"/>
        <v>143</v>
      </c>
      <c r="B151" t="s">
        <v>57</v>
      </c>
      <c r="C151">
        <f ca="1">'Modello P-C SJF'!$C151</f>
        <v>0.74849577447007509</v>
      </c>
      <c r="D151">
        <f ca="1">'Modello P-C SJF'!$D151</f>
        <v>0.28968972046894992</v>
      </c>
      <c r="E151">
        <f ca="1">'Modello P-C SJF'!$E151</f>
        <v>141.75780614546878</v>
      </c>
      <c r="G151">
        <f ca="1">'Modello P-C SJF'!$G151</f>
        <v>0.70543292694936366</v>
      </c>
      <c r="H151">
        <f ca="1">'Modello P-C SJF'!$H151</f>
        <v>0.39773374803050948</v>
      </c>
      <c r="I151">
        <f t="shared" ca="1" si="42"/>
        <v>153.61968472021766</v>
      </c>
      <c r="K151" s="2" t="s">
        <v>57</v>
      </c>
      <c r="O151">
        <f t="shared" ca="1" si="36"/>
        <v>11.861878574748886</v>
      </c>
      <c r="P151">
        <f t="shared" ca="1" si="37"/>
        <v>11.464145</v>
      </c>
      <c r="Q151">
        <f t="shared" ca="1" si="43"/>
        <v>11.464144826718377</v>
      </c>
      <c r="S151">
        <f t="shared" ca="1" si="38"/>
        <v>143</v>
      </c>
      <c r="T151">
        <f t="shared" ca="1" si="39"/>
        <v>128</v>
      </c>
      <c r="U151">
        <f t="shared" ca="1" si="40"/>
        <v>15</v>
      </c>
    </row>
    <row r="152" spans="1:21" x14ac:dyDescent="0.3">
      <c r="A152">
        <f t="shared" si="41"/>
        <v>144</v>
      </c>
      <c r="B152" t="s">
        <v>56</v>
      </c>
      <c r="C152">
        <f ca="1">'Modello P-C SJF'!$C152</f>
        <v>0.62384460568908218</v>
      </c>
      <c r="D152">
        <f ca="1">'Modello P-C SJF'!$D152</f>
        <v>0.47185397097008502</v>
      </c>
      <c r="E152">
        <f ca="1">'Modello P-C SJF'!$E152</f>
        <v>142.22966011643885</v>
      </c>
      <c r="G152">
        <f ca="1">'Modello P-C SJF'!$G152</f>
        <v>0.43089091215549324</v>
      </c>
      <c r="H152">
        <f ca="1">'Modello P-C SJF'!$H152</f>
        <v>0.89069048913163607</v>
      </c>
      <c r="I152">
        <f t="shared" ca="1" si="42"/>
        <v>154.51037520934929</v>
      </c>
      <c r="K152" s="2" t="s">
        <v>56</v>
      </c>
      <c r="O152">
        <f t="shared" ca="1" si="36"/>
        <v>12.280715092910441</v>
      </c>
      <c r="P152">
        <f t="shared" ca="1" si="37"/>
        <v>11.390025</v>
      </c>
      <c r="Q152">
        <f t="shared" ca="1" si="43"/>
        <v>11.390024603778802</v>
      </c>
      <c r="S152">
        <f t="shared" ca="1" si="38"/>
        <v>144</v>
      </c>
      <c r="T152">
        <f t="shared" ca="1" si="39"/>
        <v>129</v>
      </c>
      <c r="U152">
        <f t="shared" ca="1" si="40"/>
        <v>15</v>
      </c>
    </row>
    <row r="153" spans="1:21" x14ac:dyDescent="0.3">
      <c r="A153">
        <f t="shared" si="41"/>
        <v>145</v>
      </c>
      <c r="B153" t="s">
        <v>55</v>
      </c>
      <c r="C153">
        <f ca="1">'Modello P-C SJF'!$C153</f>
        <v>0.94291767007624239</v>
      </c>
      <c r="D153">
        <f ca="1">'Modello P-C SJF'!$D153</f>
        <v>5.8776306547970052E-2</v>
      </c>
      <c r="E153">
        <f ca="1">'Modello P-C SJF'!$E153</f>
        <v>142.28843642298682</v>
      </c>
      <c r="G153">
        <f ca="1">'Modello P-C SJF'!$G153</f>
        <v>0.4885444354219638</v>
      </c>
      <c r="H153">
        <f ca="1">'Modello P-C SJF'!$H153</f>
        <v>0.76511501281285277</v>
      </c>
      <c r="I153">
        <f t="shared" ca="1" si="42"/>
        <v>155.27549022216215</v>
      </c>
      <c r="K153" s="2" t="s">
        <v>55</v>
      </c>
      <c r="O153">
        <f t="shared" ca="1" si="36"/>
        <v>12.987053799175328</v>
      </c>
      <c r="P153">
        <f t="shared" ca="1" si="37"/>
        <v>12.221939000000001</v>
      </c>
      <c r="Q153">
        <f t="shared" ca="1" si="43"/>
        <v>12.221938786362468</v>
      </c>
      <c r="S153">
        <f t="shared" ca="1" si="38"/>
        <v>145</v>
      </c>
      <c r="T153">
        <f t="shared" ca="1" si="39"/>
        <v>129</v>
      </c>
      <c r="U153">
        <f t="shared" ca="1" si="40"/>
        <v>16</v>
      </c>
    </row>
    <row r="154" spans="1:21" x14ac:dyDescent="0.3">
      <c r="A154">
        <f t="shared" si="41"/>
        <v>146</v>
      </c>
      <c r="B154" t="s">
        <v>54</v>
      </c>
      <c r="C154">
        <f ca="1">'Modello P-C SJF'!$C154</f>
        <v>0.31277601084624385</v>
      </c>
      <c r="D154">
        <f ca="1">'Modello P-C SJF'!$D154</f>
        <v>1.1622679649199559</v>
      </c>
      <c r="E154">
        <f ca="1">'Modello P-C SJF'!$E154</f>
        <v>143.45070438790677</v>
      </c>
      <c r="G154">
        <f ca="1">'Modello P-C SJF'!$G154</f>
        <v>0.13680544689968543</v>
      </c>
      <c r="H154">
        <f ca="1">'Modello P-C SJF'!$H154</f>
        <v>2.0379856222376072</v>
      </c>
      <c r="I154">
        <f t="shared" ca="1" si="42"/>
        <v>157.31347584439976</v>
      </c>
      <c r="K154" s="2" t="s">
        <v>54</v>
      </c>
      <c r="O154">
        <f t="shared" ca="1" si="36"/>
        <v>13.862771456492993</v>
      </c>
      <c r="P154">
        <f t="shared" ca="1" si="37"/>
        <v>11.824786</v>
      </c>
      <c r="Q154">
        <f t="shared" ca="1" si="43"/>
        <v>11.824785834255366</v>
      </c>
      <c r="S154">
        <f t="shared" ca="1" si="38"/>
        <v>146</v>
      </c>
      <c r="T154">
        <f t="shared" ca="1" si="39"/>
        <v>131</v>
      </c>
      <c r="U154">
        <f t="shared" ca="1" si="40"/>
        <v>15</v>
      </c>
    </row>
    <row r="155" spans="1:21" x14ac:dyDescent="0.3">
      <c r="A155">
        <f t="shared" si="41"/>
        <v>147</v>
      </c>
      <c r="B155" t="s">
        <v>53</v>
      </c>
      <c r="C155">
        <f ca="1">'Modello P-C SJF'!$C155</f>
        <v>0.15632297365153236</v>
      </c>
      <c r="D155">
        <f ca="1">'Modello P-C SJF'!$D155</f>
        <v>1.855831068021025</v>
      </c>
      <c r="E155">
        <f ca="1">'Modello P-C SJF'!$E155</f>
        <v>145.30653545592779</v>
      </c>
      <c r="G155">
        <f ca="1">'Modello P-C SJF'!$G155</f>
        <v>0.87052099144720119</v>
      </c>
      <c r="H155">
        <f ca="1">'Modello P-C SJF'!$H155</f>
        <v>0.18745356999259721</v>
      </c>
      <c r="I155">
        <f t="shared" ca="1" si="42"/>
        <v>157.50092941439235</v>
      </c>
      <c r="K155" s="2" t="s">
        <v>53</v>
      </c>
      <c r="O155">
        <f t="shared" ca="1" si="36"/>
        <v>12.194393958464559</v>
      </c>
      <c r="P155">
        <f t="shared" ca="1" si="37"/>
        <v>12.00694</v>
      </c>
      <c r="Q155">
        <f t="shared" ca="1" si="43"/>
        <v>12.006940388471946</v>
      </c>
      <c r="S155">
        <f t="shared" ca="1" si="38"/>
        <v>147</v>
      </c>
      <c r="T155">
        <f t="shared" ca="1" si="39"/>
        <v>133</v>
      </c>
      <c r="U155">
        <f t="shared" ca="1" si="40"/>
        <v>14</v>
      </c>
    </row>
    <row r="156" spans="1:21" x14ac:dyDescent="0.3">
      <c r="A156">
        <f t="shared" si="41"/>
        <v>148</v>
      </c>
      <c r="B156" t="s">
        <v>52</v>
      </c>
      <c r="C156">
        <f ca="1">'Modello P-C SJF'!$C156</f>
        <v>0.32408580231182682</v>
      </c>
      <c r="D156">
        <f ca="1">'Modello P-C SJF'!$D156</f>
        <v>1.126746976298868</v>
      </c>
      <c r="E156">
        <f ca="1">'Modello P-C SJF'!$E156</f>
        <v>146.43328243222666</v>
      </c>
      <c r="G156">
        <f ca="1">'Modello P-C SJF'!$G156</f>
        <v>3.4357556662263922E-2</v>
      </c>
      <c r="H156">
        <f ca="1">'Modello P-C SJF'!$H156</f>
        <v>3.4197234585096998</v>
      </c>
      <c r="I156">
        <f t="shared" ca="1" si="42"/>
        <v>160.92065287290205</v>
      </c>
      <c r="K156" s="2" t="s">
        <v>52</v>
      </c>
      <c r="O156">
        <f t="shared" ca="1" si="36"/>
        <v>14.487370440675392</v>
      </c>
      <c r="P156">
        <f t="shared" ca="1" si="37"/>
        <v>11.067646999999999</v>
      </c>
      <c r="Q156">
        <f t="shared" ca="1" si="43"/>
        <v>11.067646982165675</v>
      </c>
      <c r="S156">
        <f t="shared" ca="1" si="38"/>
        <v>148</v>
      </c>
      <c r="T156">
        <f t="shared" ca="1" si="39"/>
        <v>135</v>
      </c>
      <c r="U156">
        <f t="shared" ca="1" si="40"/>
        <v>13</v>
      </c>
    </row>
    <row r="157" spans="1:21" x14ac:dyDescent="0.3">
      <c r="A157">
        <f t="shared" si="41"/>
        <v>149</v>
      </c>
      <c r="B157" t="s">
        <v>51</v>
      </c>
      <c r="C157">
        <f ca="1">'Modello P-C SJF'!$C157</f>
        <v>2.1791715460158678E-2</v>
      </c>
      <c r="D157">
        <f ca="1">'Modello P-C SJF'!$D157</f>
        <v>3.8262254061781671</v>
      </c>
      <c r="E157">
        <f ca="1">'Modello P-C SJF'!$E157</f>
        <v>150.25950783840483</v>
      </c>
      <c r="G157">
        <f ca="1">'Modello P-C SJF'!$G157</f>
        <v>8.8399843867438266E-2</v>
      </c>
      <c r="H157">
        <f ca="1">'Modello P-C SJF'!$H157</f>
        <v>2.4746752397149807</v>
      </c>
      <c r="I157">
        <f t="shared" ca="1" si="42"/>
        <v>163.39532811261702</v>
      </c>
      <c r="K157" s="2" t="s">
        <v>51</v>
      </c>
      <c r="O157">
        <f t="shared" ca="1" si="36"/>
        <v>13.135820274212193</v>
      </c>
      <c r="P157">
        <f t="shared" ca="1" si="37"/>
        <v>10.661144999999999</v>
      </c>
      <c r="Q157">
        <f t="shared" ca="1" si="43"/>
        <v>10.661145034497206</v>
      </c>
      <c r="S157">
        <f t="shared" ca="1" si="38"/>
        <v>149</v>
      </c>
      <c r="T157">
        <f t="shared" ca="1" si="39"/>
        <v>139</v>
      </c>
      <c r="U157">
        <f t="shared" ca="1" si="40"/>
        <v>10</v>
      </c>
    </row>
    <row r="158" spans="1:21" x14ac:dyDescent="0.3">
      <c r="A158">
        <f t="shared" si="41"/>
        <v>150</v>
      </c>
      <c r="B158" t="s">
        <v>50</v>
      </c>
      <c r="C158">
        <f ca="1">'Modello P-C SJF'!$C158</f>
        <v>0.86819679007686557</v>
      </c>
      <c r="D158">
        <f ca="1">'Modello P-C SJF'!$D158</f>
        <v>0.14133687333971268</v>
      </c>
      <c r="E158">
        <f ca="1">'Modello P-C SJF'!$E158</f>
        <v>150.40084471174455</v>
      </c>
      <c r="G158">
        <f ca="1">'Modello P-C SJF'!$G158</f>
        <v>0.37501657967263446</v>
      </c>
      <c r="H158">
        <f ca="1">'Modello P-C SJF'!$H158</f>
        <v>1.0295752056981418</v>
      </c>
      <c r="I158">
        <f t="shared" ca="1" si="42"/>
        <v>164.42490331831516</v>
      </c>
      <c r="K158" s="2" t="s">
        <v>50</v>
      </c>
      <c r="O158">
        <f t="shared" ca="1" si="36"/>
        <v>14.024058606570605</v>
      </c>
      <c r="P158">
        <f t="shared" ca="1" si="37"/>
        <v>12.994483000000001</v>
      </c>
      <c r="Q158">
        <f t="shared" ca="1" si="43"/>
        <v>12.994483400872474</v>
      </c>
      <c r="S158">
        <f t="shared" ca="1" si="38"/>
        <v>150</v>
      </c>
      <c r="T158">
        <f t="shared" ca="1" si="39"/>
        <v>139</v>
      </c>
      <c r="U158">
        <f t="shared" ca="1" si="40"/>
        <v>11</v>
      </c>
    </row>
    <row r="159" spans="1:21" x14ac:dyDescent="0.3">
      <c r="A159">
        <f t="shared" si="41"/>
        <v>151</v>
      </c>
      <c r="B159" t="s">
        <v>49</v>
      </c>
      <c r="C159">
        <f ca="1">'Modello P-C SJF'!$C159</f>
        <v>0.68749683775949222</v>
      </c>
      <c r="D159">
        <f ca="1">'Modello P-C SJF'!$D159</f>
        <v>0.37469804907454574</v>
      </c>
      <c r="E159">
        <f ca="1">'Modello P-C SJF'!$E159</f>
        <v>150.77554276081909</v>
      </c>
      <c r="G159">
        <f ca="1">'Modello P-C SJF'!$G159</f>
        <v>0.23715768892463374</v>
      </c>
      <c r="H159">
        <f ca="1">'Modello P-C SJF'!$H159</f>
        <v>1.4878201691539725</v>
      </c>
      <c r="I159">
        <f t="shared" ca="1" si="42"/>
        <v>165.91272348746912</v>
      </c>
      <c r="K159" s="2" t="s">
        <v>49</v>
      </c>
      <c r="O159">
        <f t="shared" ca="1" si="36"/>
        <v>15.13718072665003</v>
      </c>
      <c r="P159">
        <f t="shared" ca="1" si="37"/>
        <v>13.649361000000001</v>
      </c>
      <c r="Q159">
        <f t="shared" ca="1" si="43"/>
        <v>13.64936055749607</v>
      </c>
      <c r="S159">
        <f t="shared" ca="1" si="38"/>
        <v>151</v>
      </c>
      <c r="T159">
        <f t="shared" ca="1" si="39"/>
        <v>139</v>
      </c>
      <c r="U159">
        <f t="shared" ca="1" si="40"/>
        <v>12</v>
      </c>
    </row>
    <row r="160" spans="1:21" x14ac:dyDescent="0.3">
      <c r="A160">
        <f t="shared" si="41"/>
        <v>152</v>
      </c>
      <c r="B160" t="s">
        <v>48</v>
      </c>
      <c r="C160">
        <f ca="1">'Modello P-C SJF'!$C160</f>
        <v>0.7263232609009499</v>
      </c>
      <c r="D160">
        <f ca="1">'Modello P-C SJF'!$D160</f>
        <v>0.31976010030850505</v>
      </c>
      <c r="E160">
        <f ca="1">'Modello P-C SJF'!$E160</f>
        <v>151.09530286112761</v>
      </c>
      <c r="G160">
        <f ca="1">'Modello P-C SJF'!$G160</f>
        <v>0.89377975682568456</v>
      </c>
      <c r="H160">
        <f ca="1">'Modello P-C SJF'!$H160</f>
        <v>0.16108605534717996</v>
      </c>
      <c r="I160">
        <f t="shared" ca="1" si="42"/>
        <v>166.07380954281629</v>
      </c>
      <c r="K160" s="2" t="s">
        <v>48</v>
      </c>
      <c r="O160">
        <f t="shared" ca="1" si="36"/>
        <v>14.978506681688685</v>
      </c>
      <c r="P160">
        <f t="shared" ca="1" si="37"/>
        <v>14.817421</v>
      </c>
      <c r="Q160">
        <f t="shared" ca="1" si="43"/>
        <v>14.817420626341537</v>
      </c>
      <c r="S160">
        <f t="shared" ca="1" si="38"/>
        <v>152</v>
      </c>
      <c r="T160">
        <f t="shared" ca="1" si="39"/>
        <v>139</v>
      </c>
      <c r="U160">
        <f t="shared" ca="1" si="40"/>
        <v>13</v>
      </c>
    </row>
    <row r="161" spans="1:21" x14ac:dyDescent="0.3">
      <c r="A161">
        <f t="shared" si="41"/>
        <v>153</v>
      </c>
      <c r="B161" t="s">
        <v>47</v>
      </c>
      <c r="C161">
        <f ca="1">'Modello P-C SJF'!$C161</f>
        <v>0.20450560385628003</v>
      </c>
      <c r="D161">
        <f ca="1">'Modello P-C SJF'!$D161</f>
        <v>1.5871599011545325</v>
      </c>
      <c r="E161">
        <f ca="1">'Modello P-C SJF'!$E161</f>
        <v>152.68246276228214</v>
      </c>
      <c r="G161">
        <f ca="1">'Modello P-C SJF'!$G161</f>
        <v>0.62150036317581348</v>
      </c>
      <c r="H161">
        <f ca="1">'Modello P-C SJF'!$H161</f>
        <v>0.52440894784729186</v>
      </c>
      <c r="I161">
        <f t="shared" ca="1" si="42"/>
        <v>166.59821849066358</v>
      </c>
      <c r="K161" s="2" t="s">
        <v>47</v>
      </c>
      <c r="O161">
        <f t="shared" ca="1" si="36"/>
        <v>13.915755728381441</v>
      </c>
      <c r="P161">
        <f t="shared" ca="1" si="37"/>
        <v>13.391347</v>
      </c>
      <c r="Q161">
        <f t="shared" ca="1" si="43"/>
        <v>13.391346780534185</v>
      </c>
      <c r="S161">
        <f t="shared" ca="1" si="38"/>
        <v>153</v>
      </c>
      <c r="T161">
        <f t="shared" ca="1" si="39"/>
        <v>140</v>
      </c>
      <c r="U161">
        <f t="shared" ca="1" si="40"/>
        <v>13</v>
      </c>
    </row>
    <row r="162" spans="1:21" x14ac:dyDescent="0.3">
      <c r="A162">
        <f t="shared" si="41"/>
        <v>154</v>
      </c>
      <c r="B162" t="s">
        <v>46</v>
      </c>
      <c r="C162">
        <f ca="1">'Modello P-C SJF'!$C162</f>
        <v>0.66285188837279074</v>
      </c>
      <c r="D162">
        <f ca="1">'Modello P-C SJF'!$D162</f>
        <v>0.41120370987237548</v>
      </c>
      <c r="E162">
        <f ca="1">'Modello P-C SJF'!$E162</f>
        <v>153.09366647215452</v>
      </c>
      <c r="G162">
        <f ca="1">'Modello P-C SJF'!$G162</f>
        <v>0.83632758136406715</v>
      </c>
      <c r="H162">
        <f ca="1">'Modello P-C SJF'!$H162</f>
        <v>0.22752506308065329</v>
      </c>
      <c r="I162">
        <f t="shared" ca="1" si="42"/>
        <v>166.82574355374425</v>
      </c>
      <c r="K162" s="2" t="s">
        <v>46</v>
      </c>
      <c r="O162">
        <f t="shared" ca="1" si="36"/>
        <v>13.732077081589722</v>
      </c>
      <c r="P162">
        <f t="shared" ca="1" si="37"/>
        <v>13.504552</v>
      </c>
      <c r="Q162">
        <f t="shared" ca="1" si="43"/>
        <v>13.504552018509102</v>
      </c>
      <c r="S162">
        <f t="shared" ca="1" si="38"/>
        <v>154</v>
      </c>
      <c r="T162">
        <f t="shared" ca="1" si="39"/>
        <v>141</v>
      </c>
      <c r="U162">
        <f t="shared" ca="1" si="40"/>
        <v>13</v>
      </c>
    </row>
    <row r="163" spans="1:21" x14ac:dyDescent="0.3">
      <c r="A163">
        <f t="shared" si="41"/>
        <v>155</v>
      </c>
      <c r="B163" t="s">
        <v>45</v>
      </c>
      <c r="C163">
        <f ca="1">'Modello P-C SJF'!$C163</f>
        <v>0.52745883356598533</v>
      </c>
      <c r="D163">
        <f ca="1">'Modello P-C SJF'!$D163</f>
        <v>0.63968445731044732</v>
      </c>
      <c r="E163">
        <f ca="1">'Modello P-C SJF'!$E163</f>
        <v>153.73335092946496</v>
      </c>
      <c r="G163">
        <f ca="1">'Modello P-C SJF'!$G163</f>
        <v>0.46548253412613649</v>
      </c>
      <c r="H163">
        <f ca="1">'Modello P-C SJF'!$H163</f>
        <v>0.81347086781261568</v>
      </c>
      <c r="I163">
        <f t="shared" ca="1" si="42"/>
        <v>167.63921442155686</v>
      </c>
      <c r="K163" s="2" t="s">
        <v>45</v>
      </c>
      <c r="O163">
        <f t="shared" ca="1" si="36"/>
        <v>13.905863492091896</v>
      </c>
      <c r="P163">
        <f t="shared" ca="1" si="37"/>
        <v>13.092393</v>
      </c>
      <c r="Q163">
        <f t="shared" ca="1" si="43"/>
        <v>13.092392624279308</v>
      </c>
      <c r="S163">
        <f t="shared" ca="1" si="38"/>
        <v>155</v>
      </c>
      <c r="T163">
        <f t="shared" ca="1" si="39"/>
        <v>143</v>
      </c>
      <c r="U163">
        <f t="shared" ca="1" si="40"/>
        <v>12</v>
      </c>
    </row>
    <row r="164" spans="1:21" x14ac:dyDescent="0.3">
      <c r="A164">
        <f t="shared" si="41"/>
        <v>156</v>
      </c>
      <c r="B164" t="s">
        <v>44</v>
      </c>
      <c r="C164">
        <f ca="1">'Modello P-C SJF'!$C164</f>
        <v>0.36375838602287724</v>
      </c>
      <c r="D164">
        <f ca="1">'Modello P-C SJF'!$D164</f>
        <v>1.011265406403757</v>
      </c>
      <c r="E164">
        <f ca="1">'Modello P-C SJF'!$E164</f>
        <v>154.74461633586873</v>
      </c>
      <c r="G164">
        <f ca="1">'Modello P-C SJF'!$G164</f>
        <v>0.98856172235702622</v>
      </c>
      <c r="H164">
        <f ca="1">'Modello P-C SJF'!$H164</f>
        <v>6.0294362068341718E-2</v>
      </c>
      <c r="I164">
        <f t="shared" ca="1" si="42"/>
        <v>167.69950878362519</v>
      </c>
      <c r="K164" s="2" t="s">
        <v>44</v>
      </c>
      <c r="O164">
        <f t="shared" ca="1" si="36"/>
        <v>12.954892447756464</v>
      </c>
      <c r="P164">
        <f t="shared" ca="1" si="37"/>
        <v>12.894598</v>
      </c>
      <c r="Q164">
        <f t="shared" ca="1" si="43"/>
        <v>12.894598085688166</v>
      </c>
      <c r="S164">
        <f t="shared" ca="1" si="38"/>
        <v>156</v>
      </c>
      <c r="T164">
        <f t="shared" ca="1" si="39"/>
        <v>144</v>
      </c>
      <c r="U164">
        <f t="shared" ca="1" si="40"/>
        <v>12</v>
      </c>
    </row>
    <row r="165" spans="1:21" x14ac:dyDescent="0.3">
      <c r="A165">
        <f t="shared" si="41"/>
        <v>157</v>
      </c>
      <c r="B165" t="s">
        <v>43</v>
      </c>
      <c r="C165">
        <f ca="1">'Modello P-C SJF'!$C165</f>
        <v>0.70382309505630702</v>
      </c>
      <c r="D165">
        <f ca="1">'Modello P-C SJF'!$D165</f>
        <v>0.35122823983295082</v>
      </c>
      <c r="E165">
        <f ca="1">'Modello P-C SJF'!$E165</f>
        <v>155.09584457570168</v>
      </c>
      <c r="G165">
        <f ca="1">'Modello P-C SJF'!$G165</f>
        <v>0.96001040605835219</v>
      </c>
      <c r="H165">
        <f ca="1">'Modello P-C SJF'!$H165</f>
        <v>8.9601319104318775E-2</v>
      </c>
      <c r="I165">
        <f t="shared" ca="1" si="42"/>
        <v>167.78911010272952</v>
      </c>
      <c r="K165" s="2" t="s">
        <v>43</v>
      </c>
      <c r="O165">
        <f t="shared" ca="1" si="36"/>
        <v>12.693265527027847</v>
      </c>
      <c r="P165">
        <f t="shared" ca="1" si="37"/>
        <v>12.603664</v>
      </c>
      <c r="Q165">
        <f t="shared" ca="1" si="43"/>
        <v>12.603664207923558</v>
      </c>
      <c r="S165">
        <f t="shared" ca="1" si="38"/>
        <v>157</v>
      </c>
      <c r="T165">
        <f t="shared" ca="1" si="39"/>
        <v>144</v>
      </c>
      <c r="U165">
        <f t="shared" ca="1" si="40"/>
        <v>13</v>
      </c>
    </row>
    <row r="166" spans="1:21" x14ac:dyDescent="0.3">
      <c r="A166">
        <f t="shared" si="41"/>
        <v>158</v>
      </c>
      <c r="B166" t="s">
        <v>42</v>
      </c>
      <c r="C166">
        <f ca="1">'Modello P-C SJF'!$C166</f>
        <v>0.53626375367189971</v>
      </c>
      <c r="D166">
        <f ca="1">'Modello P-C SJF'!$D166</f>
        <v>0.62312916119580497</v>
      </c>
      <c r="E166">
        <f ca="1">'Modello P-C SJF'!$E166</f>
        <v>155.71897373689748</v>
      </c>
      <c r="G166">
        <f ca="1">'Modello P-C SJF'!$G166</f>
        <v>0.62809659031009657</v>
      </c>
      <c r="H166">
        <f ca="1">'Modello P-C SJF'!$H166</f>
        <v>0.51385148228406696</v>
      </c>
      <c r="I166">
        <f t="shared" ca="1" si="42"/>
        <v>168.30296158501358</v>
      </c>
      <c r="K166" s="2" t="s">
        <v>42</v>
      </c>
      <c r="O166">
        <f t="shared" ca="1" si="36"/>
        <v>12.583987848116095</v>
      </c>
      <c r="P166">
        <f t="shared" ca="1" si="37"/>
        <v>12.070136</v>
      </c>
      <c r="Q166">
        <f t="shared" ca="1" si="43"/>
        <v>12.07013636583207</v>
      </c>
      <c r="S166">
        <f t="shared" ca="1" si="38"/>
        <v>158</v>
      </c>
      <c r="T166">
        <f t="shared" ca="1" si="39"/>
        <v>145</v>
      </c>
      <c r="U166">
        <f t="shared" ca="1" si="40"/>
        <v>13</v>
      </c>
    </row>
    <row r="167" spans="1:21" x14ac:dyDescent="0.3">
      <c r="A167">
        <f t="shared" si="41"/>
        <v>159</v>
      </c>
      <c r="B167" t="s">
        <v>41</v>
      </c>
      <c r="C167">
        <f ca="1">'Modello P-C SJF'!$C167</f>
        <v>0.10074866334726329</v>
      </c>
      <c r="D167">
        <f ca="1">'Modello P-C SJF'!$D167</f>
        <v>2.2951263452680344</v>
      </c>
      <c r="E167">
        <f ca="1">'Modello P-C SJF'!$E167</f>
        <v>158.01410008216553</v>
      </c>
      <c r="G167">
        <f ca="1">'Modello P-C SJF'!$G167</f>
        <v>0.29705280592115002</v>
      </c>
      <c r="H167">
        <f ca="1">'Modello P-C SJF'!$H167</f>
        <v>1.2626355224387</v>
      </c>
      <c r="I167">
        <f t="shared" ca="1" si="42"/>
        <v>169.56559710745228</v>
      </c>
      <c r="K167" s="2" t="s">
        <v>41</v>
      </c>
      <c r="O167">
        <f t="shared" ca="1" si="36"/>
        <v>11.55149702528675</v>
      </c>
      <c r="P167">
        <f t="shared" ca="1" si="37"/>
        <v>10.288862</v>
      </c>
      <c r="Q167">
        <f t="shared" ca="1" si="43"/>
        <v>10.288861502848103</v>
      </c>
      <c r="S167">
        <f t="shared" ca="1" si="38"/>
        <v>159</v>
      </c>
      <c r="T167">
        <f t="shared" ca="1" si="39"/>
        <v>147</v>
      </c>
      <c r="U167">
        <f t="shared" ca="1" si="40"/>
        <v>12</v>
      </c>
    </row>
    <row r="168" spans="1:21" x14ac:dyDescent="0.3">
      <c r="A168">
        <f t="shared" si="41"/>
        <v>160</v>
      </c>
      <c r="B168" t="s">
        <v>40</v>
      </c>
      <c r="C168">
        <f ca="1">'Modello P-C SJF'!$C168</f>
        <v>0.44713139971795723</v>
      </c>
      <c r="D168">
        <f ca="1">'Modello P-C SJF'!$D168</f>
        <v>0.80490276846550379</v>
      </c>
      <c r="E168">
        <f ca="1">'Modello P-C SJF'!$E168</f>
        <v>158.81900285063102</v>
      </c>
      <c r="G168">
        <f ca="1">'Modello P-C SJF'!$G168</f>
        <v>0.42048916278228732</v>
      </c>
      <c r="H168">
        <f ca="1">'Modello P-C SJF'!$H168</f>
        <v>0.9151267362887795</v>
      </c>
      <c r="I168">
        <f t="shared" ca="1" si="42"/>
        <v>170.48072384374106</v>
      </c>
      <c r="K168" s="2" t="s">
        <v>40</v>
      </c>
      <c r="O168">
        <f t="shared" ca="1" si="36"/>
        <v>11.661720993110038</v>
      </c>
      <c r="P168">
        <f t="shared" ca="1" si="37"/>
        <v>10.746594</v>
      </c>
      <c r="Q168">
        <f t="shared" ca="1" si="43"/>
        <v>10.7465942568213</v>
      </c>
      <c r="S168">
        <f t="shared" ca="1" si="38"/>
        <v>160</v>
      </c>
      <c r="T168">
        <f t="shared" ca="1" si="39"/>
        <v>147</v>
      </c>
      <c r="U168">
        <f t="shared" ca="1" si="40"/>
        <v>13</v>
      </c>
    </row>
    <row r="169" spans="1:21" x14ac:dyDescent="0.3">
      <c r="A169">
        <f t="shared" si="41"/>
        <v>161</v>
      </c>
      <c r="B169" t="s">
        <v>39</v>
      </c>
      <c r="C169">
        <f ca="1">'Modello P-C SJF'!$C169</f>
        <v>7.3233802323110497E-3</v>
      </c>
      <c r="D169">
        <f ca="1">'Modello P-C SJF'!$D169</f>
        <v>4.9166832772262978</v>
      </c>
      <c r="E169">
        <f ca="1">'Modello P-C SJF'!$E169</f>
        <v>163.73568612785732</v>
      </c>
      <c r="G169">
        <f ca="1">'Modello P-C SJF'!$G169</f>
        <v>0.60330766691055426</v>
      </c>
      <c r="H169">
        <f ca="1">'Modello P-C SJF'!$H169</f>
        <v>0.55411814949693328</v>
      </c>
      <c r="I169">
        <f t="shared" ca="1" si="42"/>
        <v>171.03484199323799</v>
      </c>
      <c r="K169" s="2" t="s">
        <v>39</v>
      </c>
      <c r="O169">
        <f t="shared" ref="O169:O200" ca="1" si="44">$I169-$E169</f>
        <v>7.2991558653806692</v>
      </c>
      <c r="P169">
        <f t="shared" ref="P169:P200" ca="1" si="45">MAX(0, ROUND($O169-$H169, 6))</f>
        <v>6.7450380000000001</v>
      </c>
      <c r="Q169">
        <f t="shared" ca="1" si="43"/>
        <v>6.7450377158837824</v>
      </c>
      <c r="S169">
        <f t="shared" ref="S169:S200" ca="1" si="46">COUNTIF($E$9:$E$208, "&lt;=" &amp;$E169)</f>
        <v>161</v>
      </c>
      <c r="T169">
        <f t="shared" ref="T169:T200" ca="1" si="47">COUNTIF($I$9:$I$208, "&lt;=" &amp;$E169)</f>
        <v>149</v>
      </c>
      <c r="U169">
        <f t="shared" ref="U169:U200" ca="1" si="48">$S169-$T169</f>
        <v>12</v>
      </c>
    </row>
    <row r="170" spans="1:21" x14ac:dyDescent="0.3">
      <c r="A170">
        <f t="shared" ref="A170:A201" si="49">$A169 + 1</f>
        <v>162</v>
      </c>
      <c r="B170" t="s">
        <v>38</v>
      </c>
      <c r="C170">
        <f ca="1">'Modello P-C SJF'!$C170</f>
        <v>0.6297576647418599</v>
      </c>
      <c r="D170">
        <f ca="1">'Modello P-C SJF'!$D170</f>
        <v>0.46242019273676777</v>
      </c>
      <c r="E170">
        <f ca="1">'Modello P-C SJF'!$E170</f>
        <v>164.19810632059409</v>
      </c>
      <c r="G170">
        <f ca="1">'Modello P-C SJF'!$G170</f>
        <v>5.1291465359953214E-2</v>
      </c>
      <c r="H170">
        <f ca="1">'Modello P-C SJF'!$H170</f>
        <v>3.0190210720677859</v>
      </c>
      <c r="I170">
        <f t="shared" ref="I170:I201" ca="1" si="50">MAX($E170+$H170, $H170+$I169)</f>
        <v>174.05386306530576</v>
      </c>
      <c r="K170" s="2" t="s">
        <v>38</v>
      </c>
      <c r="O170">
        <f t="shared" ca="1" si="44"/>
        <v>9.8557567447116696</v>
      </c>
      <c r="P170">
        <f t="shared" ca="1" si="45"/>
        <v>6.8367360000000001</v>
      </c>
      <c r="Q170">
        <f t="shared" ref="Q170:Q201" ca="1" si="51">MAX(0,$Q169+$H169-$D170)</f>
        <v>6.8367356726439477</v>
      </c>
      <c r="S170">
        <f t="shared" ca="1" si="46"/>
        <v>162</v>
      </c>
      <c r="T170">
        <f t="shared" ca="1" si="47"/>
        <v>149</v>
      </c>
      <c r="U170">
        <f t="shared" ca="1" si="48"/>
        <v>13</v>
      </c>
    </row>
    <row r="171" spans="1:21" x14ac:dyDescent="0.3">
      <c r="A171">
        <f t="shared" si="49"/>
        <v>163</v>
      </c>
      <c r="B171" t="s">
        <v>37</v>
      </c>
      <c r="C171">
        <f ca="1">'Modello P-C SJF'!$C171</f>
        <v>0.39479320680570618</v>
      </c>
      <c r="D171">
        <f ca="1">'Modello P-C SJF'!$D171</f>
        <v>0.92939317824332379</v>
      </c>
      <c r="E171">
        <f ca="1">'Modello P-C SJF'!$E171</f>
        <v>165.12749949883741</v>
      </c>
      <c r="G171">
        <f ca="1">'Modello P-C SJF'!$G171</f>
        <v>0.95586922426261156</v>
      </c>
      <c r="H171">
        <f ca="1">'Modello P-C SJF'!$H171</f>
        <v>9.392433416179799E-2</v>
      </c>
      <c r="I171">
        <f t="shared" ca="1" si="50"/>
        <v>174.14778739946755</v>
      </c>
      <c r="K171" s="2" t="s">
        <v>37</v>
      </c>
      <c r="O171">
        <f t="shared" ca="1" si="44"/>
        <v>9.0202879006301373</v>
      </c>
      <c r="P171">
        <f t="shared" ca="1" si="45"/>
        <v>8.9263639999999995</v>
      </c>
      <c r="Q171">
        <f t="shared" ca="1" si="51"/>
        <v>8.9263635664684102</v>
      </c>
      <c r="S171">
        <f t="shared" ca="1" si="46"/>
        <v>163</v>
      </c>
      <c r="T171">
        <f t="shared" ca="1" si="47"/>
        <v>150</v>
      </c>
      <c r="U171">
        <f t="shared" ca="1" si="48"/>
        <v>13</v>
      </c>
    </row>
    <row r="172" spans="1:21" x14ac:dyDescent="0.3">
      <c r="A172">
        <f t="shared" si="49"/>
        <v>164</v>
      </c>
      <c r="B172" t="s">
        <v>36</v>
      </c>
      <c r="C172">
        <f ca="1">'Modello P-C SJF'!$C172</f>
        <v>0.95611859714451364</v>
      </c>
      <c r="D172">
        <f ca="1">'Modello P-C SJF'!$D172</f>
        <v>4.487331803449876E-2</v>
      </c>
      <c r="E172">
        <f ca="1">'Modello P-C SJF'!$E172</f>
        <v>165.1723728168719</v>
      </c>
      <c r="G172">
        <f ca="1">'Modello P-C SJF'!$G172</f>
        <v>0.99691995923052179</v>
      </c>
      <c r="H172">
        <f ca="1">'Modello P-C SJF'!$H172</f>
        <v>5.1874958026793185E-2</v>
      </c>
      <c r="I172">
        <f t="shared" ca="1" si="50"/>
        <v>174.19966235749433</v>
      </c>
      <c r="K172" s="2" t="s">
        <v>36</v>
      </c>
      <c r="O172">
        <f t="shared" ca="1" si="44"/>
        <v>9.0272895406224336</v>
      </c>
      <c r="P172">
        <f t="shared" ca="1" si="45"/>
        <v>8.9754149999999999</v>
      </c>
      <c r="Q172">
        <f t="shared" ca="1" si="51"/>
        <v>8.9754145825957092</v>
      </c>
      <c r="S172">
        <f t="shared" ca="1" si="46"/>
        <v>164</v>
      </c>
      <c r="T172">
        <f t="shared" ca="1" si="47"/>
        <v>150</v>
      </c>
      <c r="U172">
        <f t="shared" ca="1" si="48"/>
        <v>14</v>
      </c>
    </row>
    <row r="173" spans="1:21" x14ac:dyDescent="0.3">
      <c r="A173">
        <f t="shared" si="49"/>
        <v>165</v>
      </c>
      <c r="B173" t="s">
        <v>35</v>
      </c>
      <c r="C173">
        <f ca="1">'Modello P-C SJF'!$C173</f>
        <v>0.34681768474242247</v>
      </c>
      <c r="D173">
        <f ca="1">'Modello P-C SJF'!$D173</f>
        <v>1.0589560413089414</v>
      </c>
      <c r="E173">
        <f ca="1">'Modello P-C SJF'!$E173</f>
        <v>166.23132885818083</v>
      </c>
      <c r="G173">
        <f ca="1">'Modello P-C SJF'!$G173</f>
        <v>0.95708374555953069</v>
      </c>
      <c r="H173">
        <f ca="1">'Modello P-C SJF'!$H173</f>
        <v>9.2654547105591248E-2</v>
      </c>
      <c r="I173">
        <f t="shared" ca="1" si="50"/>
        <v>174.29231690459991</v>
      </c>
      <c r="K173" s="2" t="s">
        <v>35</v>
      </c>
      <c r="O173">
        <f t="shared" ca="1" si="44"/>
        <v>8.0609880464190837</v>
      </c>
      <c r="P173">
        <f t="shared" ca="1" si="45"/>
        <v>7.9683330000000003</v>
      </c>
      <c r="Q173">
        <f t="shared" ca="1" si="51"/>
        <v>7.9683334993135615</v>
      </c>
      <c r="S173">
        <f t="shared" ca="1" si="46"/>
        <v>165</v>
      </c>
      <c r="T173">
        <f t="shared" ca="1" si="47"/>
        <v>152</v>
      </c>
      <c r="U173">
        <f t="shared" ca="1" si="48"/>
        <v>13</v>
      </c>
    </row>
    <row r="174" spans="1:21" x14ac:dyDescent="0.3">
      <c r="A174">
        <f t="shared" si="49"/>
        <v>166</v>
      </c>
      <c r="B174" t="s">
        <v>34</v>
      </c>
      <c r="C174">
        <f ca="1">'Modello P-C SJF'!$C174</f>
        <v>0.1740084901877117</v>
      </c>
      <c r="D174">
        <f ca="1">'Modello P-C SJF'!$D174</f>
        <v>1.7486511867757544</v>
      </c>
      <c r="E174">
        <f ca="1">'Modello P-C SJF'!$E174</f>
        <v>167.97998004495659</v>
      </c>
      <c r="G174">
        <f ca="1">'Modello P-C SJF'!$G174</f>
        <v>0.85921220325713954</v>
      </c>
      <c r="H174">
        <f ca="1">'Modello P-C SJF'!$H174</f>
        <v>0.20052951645181216</v>
      </c>
      <c r="I174">
        <f t="shared" ca="1" si="50"/>
        <v>174.49284642105172</v>
      </c>
      <c r="K174" s="2" t="s">
        <v>34</v>
      </c>
      <c r="O174">
        <f t="shared" ca="1" si="44"/>
        <v>6.5128663760951326</v>
      </c>
      <c r="P174">
        <f t="shared" ca="1" si="45"/>
        <v>6.3123370000000003</v>
      </c>
      <c r="Q174">
        <f t="shared" ca="1" si="51"/>
        <v>6.3123368596433984</v>
      </c>
      <c r="S174">
        <f t="shared" ca="1" si="46"/>
        <v>166</v>
      </c>
      <c r="T174">
        <f t="shared" ca="1" si="47"/>
        <v>157</v>
      </c>
      <c r="U174">
        <f t="shared" ca="1" si="48"/>
        <v>9</v>
      </c>
    </row>
    <row r="175" spans="1:21" x14ac:dyDescent="0.3">
      <c r="A175">
        <f t="shared" si="49"/>
        <v>167</v>
      </c>
      <c r="B175" t="s">
        <v>33</v>
      </c>
      <c r="C175">
        <f ca="1">'Modello P-C SJF'!$C175</f>
        <v>0.57592169734445231</v>
      </c>
      <c r="D175">
        <f ca="1">'Modello P-C SJF'!$D175</f>
        <v>0.55178356963753783</v>
      </c>
      <c r="E175">
        <f ca="1">'Modello P-C SJF'!$E175</f>
        <v>168.53176361459413</v>
      </c>
      <c r="G175">
        <f ca="1">'Modello P-C SJF'!$G175</f>
        <v>0.6525253489648335</v>
      </c>
      <c r="H175">
        <f ca="1">'Modello P-C SJF'!$H175</f>
        <v>0.47569545572107241</v>
      </c>
      <c r="I175">
        <f t="shared" ca="1" si="50"/>
        <v>174.9685418767728</v>
      </c>
      <c r="K175" s="2" t="s">
        <v>33</v>
      </c>
      <c r="O175">
        <f t="shared" ca="1" si="44"/>
        <v>6.4367782621786773</v>
      </c>
      <c r="P175">
        <f t="shared" ca="1" si="45"/>
        <v>5.9610830000000004</v>
      </c>
      <c r="Q175">
        <f t="shared" ca="1" si="51"/>
        <v>5.9610828064576733</v>
      </c>
      <c r="S175">
        <f t="shared" ca="1" si="46"/>
        <v>167</v>
      </c>
      <c r="T175">
        <f t="shared" ca="1" si="47"/>
        <v>158</v>
      </c>
      <c r="U175">
        <f t="shared" ca="1" si="48"/>
        <v>9</v>
      </c>
    </row>
    <row r="176" spans="1:21" x14ac:dyDescent="0.3">
      <c r="A176">
        <f t="shared" si="49"/>
        <v>168</v>
      </c>
      <c r="B176" t="s">
        <v>32</v>
      </c>
      <c r="C176">
        <f ca="1">'Modello P-C SJF'!$C176</f>
        <v>0.20217682859376329</v>
      </c>
      <c r="D176">
        <f ca="1">'Modello P-C SJF'!$D176</f>
        <v>1.5986125754324565</v>
      </c>
      <c r="E176">
        <f ca="1">'Modello P-C SJF'!$E176</f>
        <v>170.1303761900266</v>
      </c>
      <c r="G176">
        <f ca="1">'Modello P-C SJF'!$G176</f>
        <v>0.49736471385829406</v>
      </c>
      <c r="H176">
        <f ca="1">'Modello P-C SJF'!$H176</f>
        <v>0.74722185547624431</v>
      </c>
      <c r="I176">
        <f t="shared" ca="1" si="50"/>
        <v>175.71576373224906</v>
      </c>
      <c r="K176" s="2" t="s">
        <v>32</v>
      </c>
      <c r="O176">
        <f t="shared" ca="1" si="44"/>
        <v>5.5853875422224633</v>
      </c>
      <c r="P176">
        <f t="shared" ca="1" si="45"/>
        <v>4.8381660000000002</v>
      </c>
      <c r="Q176">
        <f t="shared" ca="1" si="51"/>
        <v>4.8381656867462892</v>
      </c>
      <c r="S176">
        <f t="shared" ca="1" si="46"/>
        <v>168</v>
      </c>
      <c r="T176">
        <f t="shared" ca="1" si="47"/>
        <v>159</v>
      </c>
      <c r="U176">
        <f t="shared" ca="1" si="48"/>
        <v>9</v>
      </c>
    </row>
    <row r="177" spans="1:21" x14ac:dyDescent="0.3">
      <c r="A177">
        <f t="shared" si="49"/>
        <v>169</v>
      </c>
      <c r="B177" t="s">
        <v>31</v>
      </c>
      <c r="C177">
        <f ca="1">'Modello P-C SJF'!$C177</f>
        <v>0.89937050560767651</v>
      </c>
      <c r="D177">
        <f ca="1">'Modello P-C SJF'!$D177</f>
        <v>0.10606019859254461</v>
      </c>
      <c r="E177">
        <f ca="1">'Modello P-C SJF'!$E177</f>
        <v>170.23643638861915</v>
      </c>
      <c r="G177">
        <f ca="1">'Modello P-C SJF'!$G177</f>
        <v>0.1240591882036689</v>
      </c>
      <c r="H177">
        <f ca="1">'Modello P-C SJF'!$H177</f>
        <v>2.1357866672063648</v>
      </c>
      <c r="I177">
        <f t="shared" ca="1" si="50"/>
        <v>177.85155039945542</v>
      </c>
      <c r="K177" s="2" t="s">
        <v>31</v>
      </c>
      <c r="O177">
        <f t="shared" ca="1" si="44"/>
        <v>7.6151140108362654</v>
      </c>
      <c r="P177">
        <f t="shared" ca="1" si="45"/>
        <v>5.4793269999999996</v>
      </c>
      <c r="Q177">
        <f t="shared" ca="1" si="51"/>
        <v>5.479327343629989</v>
      </c>
      <c r="S177">
        <f t="shared" ca="1" si="46"/>
        <v>169</v>
      </c>
      <c r="T177">
        <f t="shared" ca="1" si="47"/>
        <v>159</v>
      </c>
      <c r="U177">
        <f t="shared" ca="1" si="48"/>
        <v>10</v>
      </c>
    </row>
    <row r="178" spans="1:21" x14ac:dyDescent="0.3">
      <c r="A178">
        <f t="shared" si="49"/>
        <v>170</v>
      </c>
      <c r="B178" t="s">
        <v>30</v>
      </c>
      <c r="C178">
        <f ca="1">'Modello P-C SJF'!$C178</f>
        <v>0.76253984236369143</v>
      </c>
      <c r="D178">
        <f ca="1">'Modello P-C SJF'!$D178</f>
        <v>0.27110051958542214</v>
      </c>
      <c r="E178">
        <f ca="1">'Modello P-C SJF'!$E178</f>
        <v>170.50753690820457</v>
      </c>
      <c r="G178">
        <f ca="1">'Modello P-C SJF'!$G178</f>
        <v>0.91817048657858424</v>
      </c>
      <c r="H178">
        <f ca="1">'Modello P-C SJF'!$H178</f>
        <v>0.13416235454680076</v>
      </c>
      <c r="I178">
        <f t="shared" ca="1" si="50"/>
        <v>177.98571275400221</v>
      </c>
      <c r="K178" s="2" t="s">
        <v>30</v>
      </c>
      <c r="O178">
        <f t="shared" ca="1" si="44"/>
        <v>7.4781758457976366</v>
      </c>
      <c r="P178">
        <f t="shared" ca="1" si="45"/>
        <v>7.3440130000000003</v>
      </c>
      <c r="Q178">
        <f t="shared" ca="1" si="51"/>
        <v>7.3440134912509318</v>
      </c>
      <c r="S178">
        <f t="shared" ca="1" si="46"/>
        <v>170</v>
      </c>
      <c r="T178">
        <f t="shared" ca="1" si="47"/>
        <v>160</v>
      </c>
      <c r="U178">
        <f t="shared" ca="1" si="48"/>
        <v>10</v>
      </c>
    </row>
    <row r="179" spans="1:21" x14ac:dyDescent="0.3">
      <c r="A179">
        <f t="shared" si="49"/>
        <v>171</v>
      </c>
      <c r="B179" t="s">
        <v>29</v>
      </c>
      <c r="C179">
        <f ca="1">'Modello P-C SJF'!$C179</f>
        <v>0.76851763518212057</v>
      </c>
      <c r="D179">
        <f ca="1">'Modello P-C SJF'!$D179</f>
        <v>0.26329176872986038</v>
      </c>
      <c r="E179">
        <f ca="1">'Modello P-C SJF'!$E179</f>
        <v>170.77082867693443</v>
      </c>
      <c r="G179">
        <f ca="1">'Modello P-C SJF'!$G179</f>
        <v>0.62210161458600655</v>
      </c>
      <c r="H179">
        <f ca="1">'Modello P-C SJF'!$H179</f>
        <v>0.52344199625378851</v>
      </c>
      <c r="I179">
        <f t="shared" ca="1" si="50"/>
        <v>178.50915475025599</v>
      </c>
      <c r="K179" s="2" t="s">
        <v>29</v>
      </c>
      <c r="O179">
        <f t="shared" ca="1" si="44"/>
        <v>7.7383260733215593</v>
      </c>
      <c r="P179">
        <f t="shared" ca="1" si="45"/>
        <v>7.2148839999999996</v>
      </c>
      <c r="Q179">
        <f t="shared" ca="1" si="51"/>
        <v>7.2148840770678717</v>
      </c>
      <c r="S179">
        <f t="shared" ca="1" si="46"/>
        <v>171</v>
      </c>
      <c r="T179">
        <f t="shared" ca="1" si="47"/>
        <v>160</v>
      </c>
      <c r="U179">
        <f t="shared" ca="1" si="48"/>
        <v>11</v>
      </c>
    </row>
    <row r="180" spans="1:21" x14ac:dyDescent="0.3">
      <c r="A180">
        <f t="shared" si="49"/>
        <v>172</v>
      </c>
      <c r="B180" t="s">
        <v>28</v>
      </c>
      <c r="C180">
        <f ca="1">'Modello P-C SJF'!$C180</f>
        <v>0.10210031079416038</v>
      </c>
      <c r="D180">
        <f ca="1">'Modello P-C SJF'!$D180</f>
        <v>2.2817995097989083</v>
      </c>
      <c r="E180">
        <f ca="1">'Modello P-C SJF'!$E180</f>
        <v>173.05262818673333</v>
      </c>
      <c r="G180">
        <f ca="1">'Modello P-C SJF'!$G180</f>
        <v>0.68466724132567003</v>
      </c>
      <c r="H180">
        <f ca="1">'Modello P-C SJF'!$H180</f>
        <v>0.42761250200484302</v>
      </c>
      <c r="I180">
        <f t="shared" ca="1" si="50"/>
        <v>178.93676725226084</v>
      </c>
      <c r="K180" s="2" t="s">
        <v>28</v>
      </c>
      <c r="O180">
        <f t="shared" ca="1" si="44"/>
        <v>5.8841390655275063</v>
      </c>
      <c r="P180">
        <f t="shared" ca="1" si="45"/>
        <v>5.4565270000000003</v>
      </c>
      <c r="Q180">
        <f t="shared" ca="1" si="51"/>
        <v>5.4565265635227522</v>
      </c>
      <c r="S180">
        <f t="shared" ca="1" si="46"/>
        <v>172</v>
      </c>
      <c r="T180">
        <f t="shared" ca="1" si="47"/>
        <v>161</v>
      </c>
      <c r="U180">
        <f t="shared" ca="1" si="48"/>
        <v>11</v>
      </c>
    </row>
    <row r="181" spans="1:21" x14ac:dyDescent="0.3">
      <c r="A181">
        <f t="shared" si="49"/>
        <v>173</v>
      </c>
      <c r="B181" t="s">
        <v>27</v>
      </c>
      <c r="C181">
        <f ca="1">'Modello P-C SJF'!$C181</f>
        <v>0.10745978833782566</v>
      </c>
      <c r="D181">
        <f ca="1">'Modello P-C SJF'!$D181</f>
        <v>2.230638563366766</v>
      </c>
      <c r="E181">
        <f ca="1">'Modello P-C SJF'!$E181</f>
        <v>175.2832667501001</v>
      </c>
      <c r="G181">
        <f ca="1">'Modello P-C SJF'!$G181</f>
        <v>0.20701910793717104</v>
      </c>
      <c r="H181">
        <f ca="1">'Modello P-C SJF'!$H181</f>
        <v>1.6237343452711797</v>
      </c>
      <c r="I181">
        <f t="shared" ca="1" si="50"/>
        <v>180.56050159753201</v>
      </c>
      <c r="K181" s="2" t="s">
        <v>27</v>
      </c>
      <c r="O181">
        <f t="shared" ca="1" si="44"/>
        <v>5.2772348474319131</v>
      </c>
      <c r="P181">
        <f t="shared" ca="1" si="45"/>
        <v>3.6535009999999999</v>
      </c>
      <c r="Q181">
        <f t="shared" ca="1" si="51"/>
        <v>3.6535005021608291</v>
      </c>
      <c r="S181">
        <f t="shared" ca="1" si="46"/>
        <v>173</v>
      </c>
      <c r="T181">
        <f t="shared" ca="1" si="47"/>
        <v>167</v>
      </c>
      <c r="U181">
        <f t="shared" ca="1" si="48"/>
        <v>6</v>
      </c>
    </row>
    <row r="182" spans="1:21" x14ac:dyDescent="0.3">
      <c r="A182">
        <f t="shared" si="49"/>
        <v>174</v>
      </c>
      <c r="B182" t="s">
        <v>26</v>
      </c>
      <c r="C182">
        <f ca="1">'Modello P-C SJF'!$C182</f>
        <v>0.10736316932851475</v>
      </c>
      <c r="D182">
        <f ca="1">'Modello P-C SJF'!$D182</f>
        <v>2.2315380856233755</v>
      </c>
      <c r="E182">
        <f ca="1">'Modello P-C SJF'!$E182</f>
        <v>177.51480483572348</v>
      </c>
      <c r="G182">
        <f ca="1">'Modello P-C SJF'!$G182</f>
        <v>0.16923992998020287</v>
      </c>
      <c r="H182">
        <f ca="1">'Modello P-C SJF'!$H182</f>
        <v>1.8252280310305675</v>
      </c>
      <c r="I182">
        <f t="shared" ca="1" si="50"/>
        <v>182.38572962856259</v>
      </c>
      <c r="K182" s="2" t="s">
        <v>26</v>
      </c>
      <c r="O182">
        <f t="shared" ca="1" si="44"/>
        <v>4.8709247928391051</v>
      </c>
      <c r="P182">
        <f t="shared" ca="1" si="45"/>
        <v>3.0456970000000001</v>
      </c>
      <c r="Q182">
        <f t="shared" ca="1" si="51"/>
        <v>3.0456967618086335</v>
      </c>
      <c r="S182">
        <f t="shared" ca="1" si="46"/>
        <v>174</v>
      </c>
      <c r="T182">
        <f t="shared" ca="1" si="47"/>
        <v>168</v>
      </c>
      <c r="U182">
        <f t="shared" ca="1" si="48"/>
        <v>6</v>
      </c>
    </row>
    <row r="183" spans="1:21" x14ac:dyDescent="0.3">
      <c r="A183">
        <f t="shared" si="49"/>
        <v>175</v>
      </c>
      <c r="B183" t="s">
        <v>25</v>
      </c>
      <c r="C183">
        <f ca="1">'Modello P-C SJF'!$C183</f>
        <v>0.40466605043122972</v>
      </c>
      <c r="D183">
        <f ca="1">'Modello P-C SJF'!$D183</f>
        <v>0.90469311885429449</v>
      </c>
      <c r="E183">
        <f ca="1">'Modello P-C SJF'!$E183</f>
        <v>178.41949795457776</v>
      </c>
      <c r="G183">
        <f ca="1">'Modello P-C SJF'!$G183</f>
        <v>0.84509818408034509</v>
      </c>
      <c r="H183">
        <f ca="1">'Modello P-C SJF'!$H183</f>
        <v>0.21709262836649268</v>
      </c>
      <c r="I183">
        <f t="shared" ca="1" si="50"/>
        <v>182.60282225692907</v>
      </c>
      <c r="K183" s="2" t="s">
        <v>25</v>
      </c>
      <c r="O183">
        <f t="shared" ca="1" si="44"/>
        <v>4.1833243023513091</v>
      </c>
      <c r="P183">
        <f t="shared" ca="1" si="45"/>
        <v>3.9662320000000002</v>
      </c>
      <c r="Q183">
        <f t="shared" ca="1" si="51"/>
        <v>3.9662316739849066</v>
      </c>
      <c r="S183">
        <f t="shared" ca="1" si="46"/>
        <v>175</v>
      </c>
      <c r="T183">
        <f t="shared" ca="1" si="47"/>
        <v>170</v>
      </c>
      <c r="U183">
        <f t="shared" ca="1" si="48"/>
        <v>5</v>
      </c>
    </row>
    <row r="184" spans="1:21" x14ac:dyDescent="0.3">
      <c r="A184">
        <f t="shared" si="49"/>
        <v>176</v>
      </c>
      <c r="B184" t="s">
        <v>24</v>
      </c>
      <c r="C184">
        <f ca="1">'Modello P-C SJF'!$C184</f>
        <v>0.65356515468689069</v>
      </c>
      <c r="D184">
        <f ca="1">'Modello P-C SJF'!$D184</f>
        <v>0.42531304976008122</v>
      </c>
      <c r="E184">
        <f ca="1">'Modello P-C SJF'!$E184</f>
        <v>178.84481100433786</v>
      </c>
      <c r="G184">
        <f ca="1">'Modello P-C SJF'!$G184</f>
        <v>0.23083069545871682</v>
      </c>
      <c r="H184">
        <f ca="1">'Modello P-C SJF'!$H184</f>
        <v>1.5148609214391482</v>
      </c>
      <c r="I184">
        <f t="shared" ca="1" si="50"/>
        <v>184.11768317836822</v>
      </c>
      <c r="K184" s="2" t="s">
        <v>24</v>
      </c>
      <c r="O184">
        <f t="shared" ca="1" si="44"/>
        <v>5.2728721740303683</v>
      </c>
      <c r="P184">
        <f t="shared" ca="1" si="45"/>
        <v>3.7580110000000002</v>
      </c>
      <c r="Q184">
        <f t="shared" ca="1" si="51"/>
        <v>3.7580112525913183</v>
      </c>
      <c r="S184">
        <f t="shared" ca="1" si="46"/>
        <v>176</v>
      </c>
      <c r="T184">
        <f t="shared" ca="1" si="47"/>
        <v>171</v>
      </c>
      <c r="U184">
        <f t="shared" ca="1" si="48"/>
        <v>5</v>
      </c>
    </row>
    <row r="185" spans="1:21" x14ac:dyDescent="0.3">
      <c r="A185">
        <f t="shared" si="49"/>
        <v>177</v>
      </c>
      <c r="B185" t="s">
        <v>23</v>
      </c>
      <c r="C185">
        <f ca="1">'Modello P-C SJF'!$C185</f>
        <v>0.46489347542024495</v>
      </c>
      <c r="D185">
        <f ca="1">'Modello P-C SJF'!$D185</f>
        <v>0.76594698475653722</v>
      </c>
      <c r="E185">
        <f ca="1">'Modello P-C SJF'!$E185</f>
        <v>179.6107579890944</v>
      </c>
      <c r="G185">
        <f ca="1">'Modello P-C SJF'!$G185</f>
        <v>0.83624129163634553</v>
      </c>
      <c r="H185">
        <f ca="1">'Modello P-C SJF'!$H185</f>
        <v>0.22762824535217718</v>
      </c>
      <c r="I185">
        <f t="shared" ca="1" si="50"/>
        <v>184.3453114237204</v>
      </c>
      <c r="K185" s="2" t="s">
        <v>23</v>
      </c>
      <c r="O185">
        <f t="shared" ca="1" si="44"/>
        <v>4.7345534346260081</v>
      </c>
      <c r="P185">
        <f t="shared" ca="1" si="45"/>
        <v>4.5069249999999998</v>
      </c>
      <c r="Q185">
        <f t="shared" ca="1" si="51"/>
        <v>4.5069251892739288</v>
      </c>
      <c r="S185">
        <f t="shared" ca="1" si="46"/>
        <v>177</v>
      </c>
      <c r="T185">
        <f t="shared" ca="1" si="47"/>
        <v>172</v>
      </c>
      <c r="U185">
        <f t="shared" ca="1" si="48"/>
        <v>5</v>
      </c>
    </row>
    <row r="186" spans="1:21" x14ac:dyDescent="0.3">
      <c r="A186">
        <f t="shared" si="49"/>
        <v>178</v>
      </c>
      <c r="B186" t="s">
        <v>22</v>
      </c>
      <c r="C186">
        <f ca="1">'Modello P-C SJF'!$C186</f>
        <v>7.3508176258203162E-2</v>
      </c>
      <c r="D186">
        <f ca="1">'Modello P-C SJF'!$D186</f>
        <v>2.6103586373420287</v>
      </c>
      <c r="E186">
        <f ca="1">'Modello P-C SJF'!$E186</f>
        <v>182.22111662643641</v>
      </c>
      <c r="G186">
        <f ca="1">'Modello P-C SJF'!$G186</f>
        <v>0.59893351935393957</v>
      </c>
      <c r="H186">
        <f ca="1">'Modello P-C SJF'!$H186</f>
        <v>0.56139483724905082</v>
      </c>
      <c r="I186">
        <f t="shared" ca="1" si="50"/>
        <v>184.90670626096946</v>
      </c>
      <c r="K186" s="2" t="s">
        <v>22</v>
      </c>
      <c r="O186">
        <f t="shared" ca="1" si="44"/>
        <v>2.685589634533045</v>
      </c>
      <c r="P186">
        <f t="shared" ca="1" si="45"/>
        <v>2.1241949999999998</v>
      </c>
      <c r="Q186">
        <f t="shared" ca="1" si="51"/>
        <v>2.1241947972840771</v>
      </c>
      <c r="S186">
        <f t="shared" ca="1" si="46"/>
        <v>178</v>
      </c>
      <c r="T186">
        <f t="shared" ca="1" si="47"/>
        <v>173</v>
      </c>
      <c r="U186">
        <f t="shared" ca="1" si="48"/>
        <v>5</v>
      </c>
    </row>
    <row r="187" spans="1:21" x14ac:dyDescent="0.3">
      <c r="A187">
        <f t="shared" si="49"/>
        <v>179</v>
      </c>
      <c r="B187" t="s">
        <v>21</v>
      </c>
      <c r="C187">
        <f ca="1">'Modello P-C SJF'!$C187</f>
        <v>0.4708302609235997</v>
      </c>
      <c r="D187">
        <f ca="1">'Modello P-C SJF'!$D187</f>
        <v>0.75325763012294233</v>
      </c>
      <c r="E187">
        <f ca="1">'Modello P-C SJF'!$E187</f>
        <v>182.97437425655934</v>
      </c>
      <c r="G187">
        <f ca="1">'Modello P-C SJF'!$G187</f>
        <v>0.38877912590835539</v>
      </c>
      <c r="H187">
        <f ca="1">'Modello P-C SJF'!$H187</f>
        <v>0.99353406051388105</v>
      </c>
      <c r="I187">
        <f t="shared" ca="1" si="50"/>
        <v>185.90024032148335</v>
      </c>
      <c r="K187" s="2" t="s">
        <v>21</v>
      </c>
      <c r="O187">
        <f t="shared" ca="1" si="44"/>
        <v>2.9258660649240085</v>
      </c>
      <c r="P187">
        <f t="shared" ca="1" si="45"/>
        <v>1.9323319999999999</v>
      </c>
      <c r="Q187">
        <f t="shared" ca="1" si="51"/>
        <v>1.9323320044101857</v>
      </c>
      <c r="S187">
        <f t="shared" ca="1" si="46"/>
        <v>179</v>
      </c>
      <c r="T187">
        <f t="shared" ca="1" si="47"/>
        <v>175</v>
      </c>
      <c r="U187">
        <f t="shared" ca="1" si="48"/>
        <v>4</v>
      </c>
    </row>
    <row r="188" spans="1:21" x14ac:dyDescent="0.3">
      <c r="A188">
        <f t="shared" si="49"/>
        <v>180</v>
      </c>
      <c r="B188" t="s">
        <v>20</v>
      </c>
      <c r="C188">
        <f ca="1">'Modello P-C SJF'!$C188</f>
        <v>0.11390996030416001</v>
      </c>
      <c r="D188">
        <f ca="1">'Modello P-C SJF'!$D188</f>
        <v>2.172346964554619</v>
      </c>
      <c r="E188">
        <f ca="1">'Modello P-C SJF'!$E188</f>
        <v>185.14672122111395</v>
      </c>
      <c r="G188">
        <f ca="1">'Modello P-C SJF'!$G188</f>
        <v>0.36921990724865117</v>
      </c>
      <c r="H188">
        <f ca="1">'Modello P-C SJF'!$H188</f>
        <v>1.0451530220180738</v>
      </c>
      <c r="I188">
        <f t="shared" ca="1" si="50"/>
        <v>186.94539334350142</v>
      </c>
      <c r="K188" s="2" t="s">
        <v>20</v>
      </c>
      <c r="O188">
        <f t="shared" ca="1" si="44"/>
        <v>1.7986721223874724</v>
      </c>
      <c r="P188">
        <f t="shared" ca="1" si="45"/>
        <v>0.75351900000000005</v>
      </c>
      <c r="Q188">
        <f t="shared" ca="1" si="51"/>
        <v>0.75351910036944769</v>
      </c>
      <c r="S188">
        <f t="shared" ca="1" si="46"/>
        <v>180</v>
      </c>
      <c r="T188">
        <f t="shared" ca="1" si="47"/>
        <v>178</v>
      </c>
      <c r="U188">
        <f t="shared" ca="1" si="48"/>
        <v>2</v>
      </c>
    </row>
    <row r="189" spans="1:21" x14ac:dyDescent="0.3">
      <c r="A189">
        <f t="shared" si="49"/>
        <v>181</v>
      </c>
      <c r="B189" t="s">
        <v>19</v>
      </c>
      <c r="C189">
        <f ca="1">'Modello P-C SJF'!$C189</f>
        <v>0.38423932402391681</v>
      </c>
      <c r="D189">
        <f ca="1">'Modello P-C SJF'!$D189</f>
        <v>0.95648968088196462</v>
      </c>
      <c r="E189">
        <f ca="1">'Modello P-C SJF'!$E189</f>
        <v>186.10321090199591</v>
      </c>
      <c r="G189">
        <f ca="1">'Modello P-C SJF'!$G189</f>
        <v>0.40980090770134958</v>
      </c>
      <c r="H189">
        <f ca="1">'Modello P-C SJF'!$H189</f>
        <v>0.94087399236301106</v>
      </c>
      <c r="I189">
        <f t="shared" ca="1" si="50"/>
        <v>187.88626733586443</v>
      </c>
      <c r="K189" s="2" t="s">
        <v>19</v>
      </c>
      <c r="O189">
        <f t="shared" ca="1" si="44"/>
        <v>1.7830564338685235</v>
      </c>
      <c r="P189">
        <f t="shared" ca="1" si="45"/>
        <v>0.84218199999999999</v>
      </c>
      <c r="Q189">
        <f t="shared" ca="1" si="51"/>
        <v>0.84218244150555688</v>
      </c>
      <c r="S189">
        <f t="shared" ca="1" si="46"/>
        <v>181</v>
      </c>
      <c r="T189">
        <f t="shared" ca="1" si="47"/>
        <v>179</v>
      </c>
      <c r="U189">
        <f t="shared" ca="1" si="48"/>
        <v>2</v>
      </c>
    </row>
    <row r="190" spans="1:21" x14ac:dyDescent="0.3">
      <c r="A190">
        <f t="shared" si="49"/>
        <v>182</v>
      </c>
      <c r="B190" t="s">
        <v>18</v>
      </c>
      <c r="C190">
        <f ca="1">'Modello P-C SJF'!$C190</f>
        <v>0.9443672213707589</v>
      </c>
      <c r="D190">
        <f ca="1">'Modello P-C SJF'!$D190</f>
        <v>5.7240182790369867E-2</v>
      </c>
      <c r="E190">
        <f ca="1">'Modello P-C SJF'!$E190</f>
        <v>186.16045108478627</v>
      </c>
      <c r="G190">
        <f ca="1">'Modello P-C SJF'!$G190</f>
        <v>0.22507245357887118</v>
      </c>
      <c r="H190">
        <f ca="1">'Modello P-C SJF'!$H190</f>
        <v>1.5401230768770491</v>
      </c>
      <c r="I190">
        <f t="shared" ca="1" si="50"/>
        <v>189.42639041274148</v>
      </c>
      <c r="K190" s="2" t="s">
        <v>18</v>
      </c>
      <c r="O190">
        <f t="shared" ca="1" si="44"/>
        <v>3.2659393279552091</v>
      </c>
      <c r="P190">
        <f t="shared" ca="1" si="45"/>
        <v>1.725816</v>
      </c>
      <c r="Q190">
        <f t="shared" ca="1" si="51"/>
        <v>1.725816251078198</v>
      </c>
      <c r="S190">
        <f t="shared" ca="1" si="46"/>
        <v>182</v>
      </c>
      <c r="T190">
        <f t="shared" ca="1" si="47"/>
        <v>179</v>
      </c>
      <c r="U190">
        <f t="shared" ca="1" si="48"/>
        <v>3</v>
      </c>
    </row>
    <row r="191" spans="1:21" x14ac:dyDescent="0.3">
      <c r="A191">
        <f t="shared" si="49"/>
        <v>183</v>
      </c>
      <c r="B191" t="s">
        <v>17</v>
      </c>
      <c r="C191">
        <f ca="1">'Modello P-C SJF'!$C191</f>
        <v>0.11251842516001409</v>
      </c>
      <c r="D191">
        <f ca="1">'Modello P-C SJF'!$D191</f>
        <v>2.1846382915478859</v>
      </c>
      <c r="E191">
        <f ca="1">'Modello P-C SJF'!$E191</f>
        <v>188.34508937633416</v>
      </c>
      <c r="G191">
        <f ca="1">'Modello P-C SJF'!$G191</f>
        <v>0.67756567877343155</v>
      </c>
      <c r="H191">
        <f ca="1">'Modello P-C SJF'!$H191</f>
        <v>0.43803895225735318</v>
      </c>
      <c r="I191">
        <f t="shared" ca="1" si="50"/>
        <v>189.86442936499884</v>
      </c>
      <c r="K191" s="2" t="s">
        <v>17</v>
      </c>
      <c r="O191">
        <f t="shared" ca="1" si="44"/>
        <v>1.519339988664683</v>
      </c>
      <c r="P191">
        <f t="shared" ca="1" si="45"/>
        <v>1.0813010000000001</v>
      </c>
      <c r="Q191">
        <f t="shared" ca="1" si="51"/>
        <v>1.0813010364073614</v>
      </c>
      <c r="S191">
        <f t="shared" ca="1" si="46"/>
        <v>183</v>
      </c>
      <c r="T191">
        <f t="shared" ca="1" si="47"/>
        <v>181</v>
      </c>
      <c r="U191">
        <f t="shared" ca="1" si="48"/>
        <v>2</v>
      </c>
    </row>
    <row r="192" spans="1:21" x14ac:dyDescent="0.3">
      <c r="A192">
        <f t="shared" si="49"/>
        <v>184</v>
      </c>
      <c r="B192" t="s">
        <v>16</v>
      </c>
      <c r="C192">
        <f ca="1">'Modello P-C SJF'!$C192</f>
        <v>0.23623448611566444</v>
      </c>
      <c r="D192">
        <f ca="1">'Modello P-C SJF'!$D192</f>
        <v>1.442930381999755</v>
      </c>
      <c r="E192">
        <f ca="1">'Modello P-C SJF'!$E192</f>
        <v>189.78801975833392</v>
      </c>
      <c r="G192">
        <f ca="1">'Modello P-C SJF'!$G192</f>
        <v>0.54906765286525117</v>
      </c>
      <c r="H192">
        <f ca="1">'Modello P-C SJF'!$H192</f>
        <v>0.64832377997138779</v>
      </c>
      <c r="I192">
        <f t="shared" ca="1" si="50"/>
        <v>190.51275314497022</v>
      </c>
      <c r="K192" s="2" t="s">
        <v>16</v>
      </c>
      <c r="O192">
        <f t="shared" ca="1" si="44"/>
        <v>0.72473338663630216</v>
      </c>
      <c r="P192">
        <f t="shared" ca="1" si="45"/>
        <v>7.6410000000000006E-2</v>
      </c>
      <c r="Q192">
        <f t="shared" ca="1" si="51"/>
        <v>7.6409606664959551E-2</v>
      </c>
      <c r="S192">
        <f t="shared" ca="1" si="46"/>
        <v>184</v>
      </c>
      <c r="T192">
        <f t="shared" ca="1" si="47"/>
        <v>182</v>
      </c>
      <c r="U192">
        <f t="shared" ca="1" si="48"/>
        <v>2</v>
      </c>
    </row>
    <row r="193" spans="1:21" x14ac:dyDescent="0.3">
      <c r="A193">
        <f t="shared" si="49"/>
        <v>185</v>
      </c>
      <c r="B193" t="s">
        <v>15</v>
      </c>
      <c r="C193">
        <f ca="1">'Modello P-C SJF'!$C193</f>
        <v>7.7558173444713607E-2</v>
      </c>
      <c r="D193">
        <f ca="1">'Modello P-C SJF'!$D193</f>
        <v>2.5567269991078745</v>
      </c>
      <c r="E193">
        <f ca="1">'Modello P-C SJF'!$E193</f>
        <v>192.34474675744178</v>
      </c>
      <c r="G193">
        <f ca="1">'Modello P-C SJF'!$G193</f>
        <v>0.23242452427662041</v>
      </c>
      <c r="H193">
        <f ca="1">'Modello P-C SJF'!$H193</f>
        <v>1.5079798975940573</v>
      </c>
      <c r="I193">
        <f t="shared" ca="1" si="50"/>
        <v>193.85272665503584</v>
      </c>
      <c r="K193" s="2" t="s">
        <v>15</v>
      </c>
      <c r="O193">
        <f t="shared" ca="1" si="44"/>
        <v>1.5079798975940548</v>
      </c>
      <c r="P193">
        <f t="shared" ca="1" si="45"/>
        <v>0</v>
      </c>
      <c r="Q193">
        <f t="shared" ca="1" si="51"/>
        <v>0</v>
      </c>
      <c r="S193">
        <f t="shared" ca="1" si="46"/>
        <v>185</v>
      </c>
      <c r="T193">
        <f t="shared" ca="1" si="47"/>
        <v>184</v>
      </c>
      <c r="U193">
        <f t="shared" ca="1" si="48"/>
        <v>1</v>
      </c>
    </row>
    <row r="194" spans="1:21" x14ac:dyDescent="0.3">
      <c r="A194">
        <f t="shared" si="49"/>
        <v>186</v>
      </c>
      <c r="B194" t="s">
        <v>14</v>
      </c>
      <c r="C194">
        <f ca="1">'Modello P-C SJF'!$C194</f>
        <v>0.41524789536176443</v>
      </c>
      <c r="D194">
        <f ca="1">'Modello P-C SJF'!$D194</f>
        <v>0.87887959886578071</v>
      </c>
      <c r="E194">
        <f ca="1">'Modello P-C SJF'!$E194</f>
        <v>193.22362635630756</v>
      </c>
      <c r="G194">
        <f ca="1">'Modello P-C SJF'!$G194</f>
        <v>0.19618909034946974</v>
      </c>
      <c r="H194">
        <f ca="1">'Modello P-C SJF'!$H194</f>
        <v>1.6774665023090711</v>
      </c>
      <c r="I194">
        <f t="shared" ca="1" si="50"/>
        <v>195.53019315734491</v>
      </c>
      <c r="K194" s="2" t="s">
        <v>14</v>
      </c>
      <c r="O194">
        <f t="shared" ca="1" si="44"/>
        <v>2.3065668010373486</v>
      </c>
      <c r="P194">
        <f t="shared" ca="1" si="45"/>
        <v>0.62909999999999999</v>
      </c>
      <c r="Q194">
        <f t="shared" ca="1" si="51"/>
        <v>0.62910029872827655</v>
      </c>
      <c r="S194">
        <f t="shared" ca="1" si="46"/>
        <v>186</v>
      </c>
      <c r="T194">
        <f t="shared" ca="1" si="47"/>
        <v>184</v>
      </c>
      <c r="U194">
        <f t="shared" ca="1" si="48"/>
        <v>2</v>
      </c>
    </row>
    <row r="195" spans="1:21" x14ac:dyDescent="0.3">
      <c r="A195">
        <f t="shared" si="49"/>
        <v>187</v>
      </c>
      <c r="B195" t="s">
        <v>13</v>
      </c>
      <c r="C195">
        <f ca="1">'Modello P-C SJF'!$C195</f>
        <v>0.62979389651620743</v>
      </c>
      <c r="D195">
        <f ca="1">'Modello P-C SJF'!$D195</f>
        <v>0.46236266150823857</v>
      </c>
      <c r="E195">
        <f ca="1">'Modello P-C SJF'!$E195</f>
        <v>193.68598901781581</v>
      </c>
      <c r="G195">
        <f ca="1">'Modello P-C SJF'!$G195</f>
        <v>0.83619426187255264</v>
      </c>
      <c r="H195">
        <f ca="1">'Modello P-C SJF'!$H195</f>
        <v>0.22768448639979968</v>
      </c>
      <c r="I195">
        <f t="shared" ca="1" si="50"/>
        <v>195.75787764374471</v>
      </c>
      <c r="K195" s="2" t="s">
        <v>13</v>
      </c>
      <c r="O195">
        <f t="shared" ca="1" si="44"/>
        <v>2.0718886259288922</v>
      </c>
      <c r="P195">
        <f t="shared" ca="1" si="45"/>
        <v>1.844204</v>
      </c>
      <c r="Q195">
        <f t="shared" ca="1" si="51"/>
        <v>1.8442041395291091</v>
      </c>
      <c r="S195">
        <f t="shared" ca="1" si="46"/>
        <v>187</v>
      </c>
      <c r="T195">
        <f t="shared" ca="1" si="47"/>
        <v>184</v>
      </c>
      <c r="U195">
        <f t="shared" ca="1" si="48"/>
        <v>3</v>
      </c>
    </row>
    <row r="196" spans="1:21" x14ac:dyDescent="0.3">
      <c r="A196">
        <f t="shared" si="49"/>
        <v>188</v>
      </c>
      <c r="B196" t="s">
        <v>12</v>
      </c>
      <c r="C196">
        <f ca="1">'Modello P-C SJF'!$C196</f>
        <v>0.56315865452447966</v>
      </c>
      <c r="D196">
        <f ca="1">'Modello P-C SJF'!$D196</f>
        <v>0.57419388854387199</v>
      </c>
      <c r="E196">
        <f ca="1">'Modello P-C SJF'!$E196</f>
        <v>194.26018290635969</v>
      </c>
      <c r="G196">
        <f ca="1">'Modello P-C SJF'!$G196</f>
        <v>0.87983504906610066</v>
      </c>
      <c r="H196">
        <f ca="1">'Modello P-C SJF'!$H196</f>
        <v>0.17681099749225213</v>
      </c>
      <c r="I196">
        <f t="shared" ca="1" si="50"/>
        <v>195.93468864123696</v>
      </c>
      <c r="K196" s="2" t="s">
        <v>12</v>
      </c>
      <c r="O196">
        <f t="shared" ca="1" si="44"/>
        <v>1.6745057348772718</v>
      </c>
      <c r="P196">
        <f t="shared" ca="1" si="45"/>
        <v>1.497695</v>
      </c>
      <c r="Q196">
        <f t="shared" ca="1" si="51"/>
        <v>1.4976947373850367</v>
      </c>
      <c r="S196">
        <f t="shared" ca="1" si="46"/>
        <v>188</v>
      </c>
      <c r="T196">
        <f t="shared" ca="1" si="47"/>
        <v>185</v>
      </c>
      <c r="U196">
        <f t="shared" ca="1" si="48"/>
        <v>3</v>
      </c>
    </row>
    <row r="197" spans="1:21" x14ac:dyDescent="0.3">
      <c r="A197">
        <f t="shared" si="49"/>
        <v>189</v>
      </c>
      <c r="B197" t="s">
        <v>11</v>
      </c>
      <c r="C197">
        <f ca="1">'Modello P-C SJF'!$C197</f>
        <v>0.99980490356857976</v>
      </c>
      <c r="D197">
        <f ca="1">'Modello P-C SJF'!$D197</f>
        <v>1.9511546520467089E-4</v>
      </c>
      <c r="E197">
        <f ca="1">'Modello P-C SJF'!$E197</f>
        <v>194.26037802182489</v>
      </c>
      <c r="G197">
        <f ca="1">'Modello P-C SJF'!$G197</f>
        <v>0.41212202411081178</v>
      </c>
      <c r="H197">
        <f ca="1">'Modello P-C SJF'!$H197</f>
        <v>0.93522596262696533</v>
      </c>
      <c r="I197">
        <f t="shared" ca="1" si="50"/>
        <v>196.86991460386392</v>
      </c>
      <c r="K197" s="2" t="s">
        <v>11</v>
      </c>
      <c r="O197">
        <f t="shared" ca="1" si="44"/>
        <v>2.6095365820390271</v>
      </c>
      <c r="P197">
        <f t="shared" ca="1" si="45"/>
        <v>1.6743110000000001</v>
      </c>
      <c r="Q197">
        <f t="shared" ca="1" si="51"/>
        <v>1.674310619412084</v>
      </c>
      <c r="S197">
        <f t="shared" ca="1" si="46"/>
        <v>189</v>
      </c>
      <c r="T197">
        <f t="shared" ca="1" si="47"/>
        <v>185</v>
      </c>
      <c r="U197">
        <f t="shared" ca="1" si="48"/>
        <v>4</v>
      </c>
    </row>
    <row r="198" spans="1:21" x14ac:dyDescent="0.3">
      <c r="A198">
        <f t="shared" si="49"/>
        <v>190</v>
      </c>
      <c r="B198" t="s">
        <v>10</v>
      </c>
      <c r="C198">
        <f ca="1">'Modello P-C SJF'!$C198</f>
        <v>0.64388469569424411</v>
      </c>
      <c r="D198">
        <f ca="1">'Modello P-C SJF'!$D198</f>
        <v>0.44023561286110252</v>
      </c>
      <c r="E198">
        <f ca="1">'Modello P-C SJF'!$E198</f>
        <v>194.70061363468599</v>
      </c>
      <c r="G198">
        <f ca="1">'Modello P-C SJF'!$G198</f>
        <v>0.70904831131454671</v>
      </c>
      <c r="H198">
        <f ca="1">'Modello P-C SJF'!$H198</f>
        <v>0.3926217788639364</v>
      </c>
      <c r="I198">
        <f t="shared" ca="1" si="50"/>
        <v>197.26253638272786</v>
      </c>
      <c r="K198" s="2" t="s">
        <v>10</v>
      </c>
      <c r="O198">
        <f t="shared" ca="1" si="44"/>
        <v>2.5619227480418658</v>
      </c>
      <c r="P198">
        <f t="shared" ca="1" si="45"/>
        <v>2.1693009999999999</v>
      </c>
      <c r="Q198">
        <f t="shared" ca="1" si="51"/>
        <v>2.1693009691779466</v>
      </c>
      <c r="S198">
        <f t="shared" ca="1" si="46"/>
        <v>190</v>
      </c>
      <c r="T198">
        <f t="shared" ca="1" si="47"/>
        <v>185</v>
      </c>
      <c r="U198">
        <f t="shared" ca="1" si="48"/>
        <v>5</v>
      </c>
    </row>
    <row r="199" spans="1:21" x14ac:dyDescent="0.3">
      <c r="A199">
        <f t="shared" si="49"/>
        <v>191</v>
      </c>
      <c r="B199" t="s">
        <v>9</v>
      </c>
      <c r="C199">
        <f ca="1">'Modello P-C SJF'!$C199</f>
        <v>0.7417367020815534</v>
      </c>
      <c r="D199">
        <f ca="1">'Modello P-C SJF'!$D199</f>
        <v>0.29876094773523554</v>
      </c>
      <c r="E199">
        <f ca="1">'Modello P-C SJF'!$E199</f>
        <v>194.99937458242124</v>
      </c>
      <c r="G199">
        <f ca="1">'Modello P-C SJF'!$G199</f>
        <v>0.87454480681996527</v>
      </c>
      <c r="H199">
        <f ca="1">'Modello P-C SJF'!$H199</f>
        <v>0.18284191293291308</v>
      </c>
      <c r="I199">
        <f t="shared" ca="1" si="50"/>
        <v>197.44537829566076</v>
      </c>
      <c r="K199" s="2" t="s">
        <v>9</v>
      </c>
      <c r="O199">
        <f t="shared" ca="1" si="44"/>
        <v>2.44600371323952</v>
      </c>
      <c r="P199">
        <f t="shared" ca="1" si="45"/>
        <v>2.2631619999999999</v>
      </c>
      <c r="Q199">
        <f t="shared" ca="1" si="51"/>
        <v>2.2631618003066478</v>
      </c>
      <c r="S199">
        <f t="shared" ca="1" si="46"/>
        <v>191</v>
      </c>
      <c r="T199">
        <f t="shared" ca="1" si="47"/>
        <v>185</v>
      </c>
      <c r="U199">
        <f t="shared" ca="1" si="48"/>
        <v>6</v>
      </c>
    </row>
    <row r="200" spans="1:21" x14ac:dyDescent="0.3">
      <c r="A200">
        <f t="shared" si="49"/>
        <v>192</v>
      </c>
      <c r="B200" t="s">
        <v>8</v>
      </c>
      <c r="C200">
        <f ca="1">'Modello P-C SJF'!$C200</f>
        <v>0.55741933901228458</v>
      </c>
      <c r="D200">
        <f ca="1">'Modello P-C SJF'!$D200</f>
        <v>0.58443746950155062</v>
      </c>
      <c r="E200">
        <f ca="1">'Modello P-C SJF'!$E200</f>
        <v>195.58381205192279</v>
      </c>
      <c r="G200">
        <f ca="1">'Modello P-C SJF'!$G200</f>
        <v>0.65531946554283127</v>
      </c>
      <c r="H200">
        <f ca="1">'Modello P-C SJF'!$H200</f>
        <v>0.47142259276653742</v>
      </c>
      <c r="I200">
        <f t="shared" ca="1" si="50"/>
        <v>197.9168008884273</v>
      </c>
      <c r="K200" s="2" t="s">
        <v>8</v>
      </c>
      <c r="O200">
        <f t="shared" ca="1" si="44"/>
        <v>2.3329888365045122</v>
      </c>
      <c r="P200">
        <f t="shared" ca="1" si="45"/>
        <v>1.8615660000000001</v>
      </c>
      <c r="Q200">
        <f t="shared" ca="1" si="51"/>
        <v>1.8615662437380103</v>
      </c>
      <c r="S200">
        <f t="shared" ca="1" si="46"/>
        <v>192</v>
      </c>
      <c r="T200">
        <f t="shared" ca="1" si="47"/>
        <v>186</v>
      </c>
      <c r="U200">
        <f t="shared" ca="1" si="48"/>
        <v>6</v>
      </c>
    </row>
    <row r="201" spans="1:21" x14ac:dyDescent="0.3">
      <c r="A201">
        <f t="shared" si="49"/>
        <v>193</v>
      </c>
      <c r="B201" t="s">
        <v>7</v>
      </c>
      <c r="C201">
        <f ca="1">'Modello P-C SJF'!$C201</f>
        <v>0.99492865579962619</v>
      </c>
      <c r="D201">
        <f ca="1">'Modello P-C SJF'!$D201</f>
        <v>5.0842471082502873E-3</v>
      </c>
      <c r="E201">
        <f ca="1">'Modello P-C SJF'!$E201</f>
        <v>195.58889629903103</v>
      </c>
      <c r="G201">
        <f ca="1">'Modello P-C SJF'!$G201</f>
        <v>0.27758288864690273</v>
      </c>
      <c r="H201">
        <f ca="1">'Modello P-C SJF'!$H201</f>
        <v>1.330425856739718</v>
      </c>
      <c r="I201">
        <f t="shared" ca="1" si="50"/>
        <v>199.24722674516701</v>
      </c>
      <c r="K201" s="2" t="s">
        <v>7</v>
      </c>
      <c r="O201">
        <f t="shared" ref="O201:O208" ca="1" si="52">$I201-$E201</f>
        <v>3.6583304461359774</v>
      </c>
      <c r="P201">
        <f t="shared" ref="P201:P208" ca="1" si="53">MAX(0, ROUND($O201-$H201, 6))</f>
        <v>2.3279049999999999</v>
      </c>
      <c r="Q201">
        <f t="shared" ca="1" si="51"/>
        <v>2.3279045893962973</v>
      </c>
      <c r="S201">
        <f t="shared" ref="S201:S208" ca="1" si="54">COUNTIF($E$9:$E$208, "&lt;=" &amp;$E201)</f>
        <v>193</v>
      </c>
      <c r="T201">
        <f t="shared" ref="T201:T208" ca="1" si="55">COUNTIF($I$9:$I$208, "&lt;=" &amp;$E201)</f>
        <v>186</v>
      </c>
      <c r="U201">
        <f t="shared" ref="U201:U208" ca="1" si="56">$S201-$T201</f>
        <v>7</v>
      </c>
    </row>
    <row r="202" spans="1:21" x14ac:dyDescent="0.3">
      <c r="A202">
        <f t="shared" ref="A202:A208" si="57">$A201 + 1</f>
        <v>194</v>
      </c>
      <c r="B202" t="s">
        <v>6</v>
      </c>
      <c r="C202">
        <f ca="1">'Modello P-C SJF'!$C202</f>
        <v>0.66507144032127807</v>
      </c>
      <c r="D202">
        <f ca="1">'Modello P-C SJF'!$D202</f>
        <v>0.40786081504181704</v>
      </c>
      <c r="E202">
        <f ca="1">'Modello P-C SJF'!$E202</f>
        <v>195.99675711407286</v>
      </c>
      <c r="G202">
        <f ca="1">'Modello P-C SJF'!$G202</f>
        <v>0.40238810633810618</v>
      </c>
      <c r="H202">
        <f ca="1">'Modello P-C SJF'!$H202</f>
        <v>0.95912838161670233</v>
      </c>
      <c r="I202">
        <f t="shared" ref="I202:I208" ca="1" si="58">MAX($E202+$H202, $H202+$I201)</f>
        <v>200.20635512678371</v>
      </c>
      <c r="K202" s="2" t="s">
        <v>6</v>
      </c>
      <c r="O202">
        <f t="shared" ca="1" si="52"/>
        <v>4.2095980127108419</v>
      </c>
      <c r="P202">
        <f t="shared" ca="1" si="53"/>
        <v>3.25047</v>
      </c>
      <c r="Q202">
        <f t="shared" ref="Q202:Q208" ca="1" si="59">MAX(0,$Q201+$H201-$D202)</f>
        <v>3.2504696310941985</v>
      </c>
      <c r="S202">
        <f t="shared" ca="1" si="54"/>
        <v>194</v>
      </c>
      <c r="T202">
        <f t="shared" ca="1" si="55"/>
        <v>188</v>
      </c>
      <c r="U202">
        <f t="shared" ca="1" si="56"/>
        <v>6</v>
      </c>
    </row>
    <row r="203" spans="1:21" x14ac:dyDescent="0.3">
      <c r="A203">
        <f t="shared" si="57"/>
        <v>195</v>
      </c>
      <c r="B203" t="s">
        <v>5</v>
      </c>
      <c r="C203">
        <f ca="1">'Modello P-C SJF'!$C203</f>
        <v>0.75149249083595493</v>
      </c>
      <c r="D203">
        <f ca="1">'Modello P-C SJF'!$D203</f>
        <v>0.28569406207328885</v>
      </c>
      <c r="E203">
        <f ca="1">'Modello P-C SJF'!$E203</f>
        <v>196.28245117614614</v>
      </c>
      <c r="G203">
        <f ca="1">'Modello P-C SJF'!$G203</f>
        <v>0.44516604430568985</v>
      </c>
      <c r="H203">
        <f ca="1">'Modello P-C SJF'!$H203</f>
        <v>0.85809809731102282</v>
      </c>
      <c r="I203">
        <f t="shared" ca="1" si="58"/>
        <v>201.06445322409473</v>
      </c>
      <c r="K203" s="2" t="s">
        <v>5</v>
      </c>
      <c r="O203">
        <f t="shared" ca="1" si="52"/>
        <v>4.7820020479485947</v>
      </c>
      <c r="P203">
        <f t="shared" ca="1" si="53"/>
        <v>3.9239039999999998</v>
      </c>
      <c r="Q203">
        <f t="shared" ca="1" si="59"/>
        <v>3.9239039506376114</v>
      </c>
      <c r="S203">
        <f t="shared" ca="1" si="54"/>
        <v>195</v>
      </c>
      <c r="T203">
        <f t="shared" ca="1" si="55"/>
        <v>188</v>
      </c>
      <c r="U203">
        <f t="shared" ca="1" si="56"/>
        <v>7</v>
      </c>
    </row>
    <row r="204" spans="1:21" x14ac:dyDescent="0.3">
      <c r="A204">
        <f t="shared" si="57"/>
        <v>196</v>
      </c>
      <c r="B204" t="s">
        <v>4</v>
      </c>
      <c r="C204">
        <f ca="1">'Modello P-C SJF'!$C204</f>
        <v>0.47999477418459258</v>
      </c>
      <c r="D204">
        <f ca="1">'Modello P-C SJF'!$D204</f>
        <v>0.73398006225489765</v>
      </c>
      <c r="E204">
        <f ca="1">'Modello P-C SJF'!$E204</f>
        <v>197.01643123840103</v>
      </c>
      <c r="G204">
        <f ca="1">'Modello P-C SJF'!$G204</f>
        <v>8.9863034984164591E-2</v>
      </c>
      <c r="H204">
        <f ca="1">'Modello P-C SJF'!$H204</f>
        <v>2.4582587654953878</v>
      </c>
      <c r="I204">
        <f t="shared" ca="1" si="58"/>
        <v>203.52271198959014</v>
      </c>
      <c r="K204" s="2" t="s">
        <v>4</v>
      </c>
      <c r="O204">
        <f t="shared" ca="1" si="52"/>
        <v>6.5062807511891094</v>
      </c>
      <c r="P204">
        <f t="shared" ca="1" si="53"/>
        <v>4.0480219999999996</v>
      </c>
      <c r="Q204">
        <f t="shared" ca="1" si="59"/>
        <v>4.0480219856937358</v>
      </c>
      <c r="S204">
        <f t="shared" ca="1" si="54"/>
        <v>196</v>
      </c>
      <c r="T204">
        <f t="shared" ca="1" si="55"/>
        <v>189</v>
      </c>
      <c r="U204">
        <f t="shared" ca="1" si="56"/>
        <v>7</v>
      </c>
    </row>
    <row r="205" spans="1:21" x14ac:dyDescent="0.3">
      <c r="A205">
        <f t="shared" si="57"/>
        <v>197</v>
      </c>
      <c r="B205" t="s">
        <v>3</v>
      </c>
      <c r="C205">
        <f ca="1">'Modello P-C SJF'!$C205</f>
        <v>0.4091186957097579</v>
      </c>
      <c r="D205">
        <f ca="1">'Modello P-C SJF'!$D205</f>
        <v>0.89374995548267366</v>
      </c>
      <c r="E205">
        <f ca="1">'Modello P-C SJF'!$E205</f>
        <v>197.91018119388369</v>
      </c>
      <c r="G205">
        <f ca="1">'Modello P-C SJF'!$G205</f>
        <v>0.81679043840777976</v>
      </c>
      <c r="H205">
        <f ca="1">'Modello P-C SJF'!$H205</f>
        <v>0.25116288253052738</v>
      </c>
      <c r="I205">
        <f t="shared" ca="1" si="58"/>
        <v>203.77387487212067</v>
      </c>
      <c r="K205" s="2" t="s">
        <v>3</v>
      </c>
      <c r="O205">
        <f t="shared" ca="1" si="52"/>
        <v>5.8636936782369844</v>
      </c>
      <c r="P205">
        <f t="shared" ca="1" si="53"/>
        <v>5.6125309999999997</v>
      </c>
      <c r="Q205">
        <f t="shared" ca="1" si="59"/>
        <v>5.6125307957064496</v>
      </c>
      <c r="S205">
        <f t="shared" ca="1" si="54"/>
        <v>197</v>
      </c>
      <c r="T205">
        <f t="shared" ca="1" si="55"/>
        <v>191</v>
      </c>
      <c r="U205">
        <f t="shared" ca="1" si="56"/>
        <v>6</v>
      </c>
    </row>
    <row r="206" spans="1:21" x14ac:dyDescent="0.3">
      <c r="A206">
        <f t="shared" si="57"/>
        <v>198</v>
      </c>
      <c r="B206" t="s">
        <v>2</v>
      </c>
      <c r="C206">
        <f ca="1">'Modello P-C SJF'!$C206</f>
        <v>8.3143257532562576E-2</v>
      </c>
      <c r="D206">
        <f ca="1">'Modello P-C SJF'!$D206</f>
        <v>2.4871901646338657</v>
      </c>
      <c r="E206">
        <f ca="1">'Modello P-C SJF'!$E206</f>
        <v>200.39737135851755</v>
      </c>
      <c r="G206">
        <f ca="1">'Modello P-C SJF'!$G206</f>
        <v>0.16756882595173195</v>
      </c>
      <c r="H206">
        <f ca="1">'Modello P-C SJF'!$H206</f>
        <v>1.8351512750788597</v>
      </c>
      <c r="I206">
        <f t="shared" ca="1" si="58"/>
        <v>205.60902614719953</v>
      </c>
      <c r="K206" s="2" t="s">
        <v>2</v>
      </c>
      <c r="O206">
        <f t="shared" ca="1" si="52"/>
        <v>5.2116547886819831</v>
      </c>
      <c r="P206">
        <f t="shared" ca="1" si="53"/>
        <v>3.3765040000000002</v>
      </c>
      <c r="Q206">
        <f t="shared" ca="1" si="59"/>
        <v>3.3765035136031116</v>
      </c>
      <c r="S206">
        <f t="shared" ca="1" si="54"/>
        <v>198</v>
      </c>
      <c r="T206">
        <f t="shared" ca="1" si="55"/>
        <v>194</v>
      </c>
      <c r="U206">
        <f t="shared" ca="1" si="56"/>
        <v>4</v>
      </c>
    </row>
    <row r="207" spans="1:21" x14ac:dyDescent="0.3">
      <c r="A207">
        <f t="shared" si="57"/>
        <v>199</v>
      </c>
      <c r="B207" t="s">
        <v>1</v>
      </c>
      <c r="C207">
        <f ca="1">'Modello P-C SJF'!$C207</f>
        <v>7.4908559922062357E-2</v>
      </c>
      <c r="D207">
        <f ca="1">'Modello P-C SJF'!$D207</f>
        <v>2.5914871103152293</v>
      </c>
      <c r="E207">
        <f ca="1">'Modello P-C SJF'!$E207</f>
        <v>202.98885846883277</v>
      </c>
      <c r="G207">
        <f ca="1">'Modello P-C SJF'!$G207</f>
        <v>0.27366400369153054</v>
      </c>
      <c r="H207">
        <f ca="1">'Modello P-C SJF'!$H207</f>
        <v>1.3446443531398178</v>
      </c>
      <c r="I207">
        <f t="shared" ca="1" si="58"/>
        <v>206.95367050033934</v>
      </c>
      <c r="K207" s="2" t="s">
        <v>1</v>
      </c>
      <c r="O207">
        <f t="shared" ca="1" si="52"/>
        <v>3.9648120315065682</v>
      </c>
      <c r="P207">
        <f t="shared" ca="1" si="53"/>
        <v>2.6201680000000001</v>
      </c>
      <c r="Q207">
        <f t="shared" ca="1" si="59"/>
        <v>2.6201676783667422</v>
      </c>
      <c r="S207">
        <f t="shared" ca="1" si="54"/>
        <v>199</v>
      </c>
      <c r="T207">
        <f t="shared" ca="1" si="55"/>
        <v>195</v>
      </c>
      <c r="U207">
        <f t="shared" ca="1" si="56"/>
        <v>4</v>
      </c>
    </row>
    <row r="208" spans="1:21" x14ac:dyDescent="0.3">
      <c r="A208">
        <f t="shared" si="57"/>
        <v>200</v>
      </c>
      <c r="B208" t="s">
        <v>0</v>
      </c>
      <c r="C208">
        <f ca="1">'Modello P-C SJF'!$C208</f>
        <v>2.1189638636459618E-3</v>
      </c>
      <c r="D208">
        <f ca="1">'Modello P-C SJF'!$D208</f>
        <v>6.1568280533355066</v>
      </c>
      <c r="E208">
        <f ca="1">'Modello P-C SJF'!$E208</f>
        <v>209.14568652216829</v>
      </c>
      <c r="G208">
        <f ca="1">'Modello P-C SJF'!$G208</f>
        <v>0.70834141134022433</v>
      </c>
      <c r="H208">
        <f ca="1">'Modello P-C SJF'!$H208</f>
        <v>0.39361924628116685</v>
      </c>
      <c r="I208">
        <f t="shared" ca="1" si="58"/>
        <v>209.53930576844945</v>
      </c>
      <c r="K208" s="2" t="s">
        <v>0</v>
      </c>
      <c r="O208">
        <f t="shared" ca="1" si="52"/>
        <v>0.39361924628116185</v>
      </c>
      <c r="P208">
        <f t="shared" ca="1" si="53"/>
        <v>0</v>
      </c>
      <c r="Q208">
        <f t="shared" ca="1" si="59"/>
        <v>0</v>
      </c>
      <c r="S208">
        <f t="shared" ca="1" si="54"/>
        <v>200</v>
      </c>
      <c r="T208">
        <f t="shared" ca="1" si="55"/>
        <v>199</v>
      </c>
      <c r="U208">
        <f t="shared" ca="1" si="56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AA5C1-230A-4518-8FAB-048BCAA8FD3D}">
  <sheetPr codeName="Foglio6"/>
  <dimension ref="A1:V204"/>
  <sheetViews>
    <sheetView topLeftCell="B9" workbookViewId="0">
      <selection activeCell="O33" sqref="O33"/>
    </sheetView>
  </sheetViews>
  <sheetFormatPr defaultRowHeight="14.4" x14ac:dyDescent="0.3"/>
  <cols>
    <col min="2" max="2" width="9.5546875" bestFit="1" customWidth="1"/>
    <col min="3" max="3" width="12" bestFit="1" customWidth="1"/>
    <col min="6" max="6" width="12" bestFit="1" customWidth="1"/>
    <col min="10" max="10" width="6.33203125" customWidth="1"/>
    <col min="16" max="16" width="12" bestFit="1" customWidth="1"/>
  </cols>
  <sheetData>
    <row r="1" spans="1:22" x14ac:dyDescent="0.3">
      <c r="B1" t="s">
        <v>207</v>
      </c>
      <c r="I1" s="71" t="s">
        <v>282</v>
      </c>
      <c r="J1" s="71"/>
      <c r="K1" s="71"/>
      <c r="L1" s="71"/>
      <c r="M1" s="71"/>
    </row>
    <row r="2" spans="1:22" x14ac:dyDescent="0.3">
      <c r="A2" s="11" t="s">
        <v>240</v>
      </c>
      <c r="B2" t="s">
        <v>299</v>
      </c>
      <c r="C2" t="s">
        <v>248</v>
      </c>
      <c r="D2" s="28" t="s">
        <v>250</v>
      </c>
      <c r="E2" s="29">
        <f>'Modello P-C SJF'!E1</f>
        <v>1</v>
      </c>
      <c r="F2" t="s">
        <v>249</v>
      </c>
      <c r="V2" t="s">
        <v>251</v>
      </c>
    </row>
    <row r="3" spans="1:22" x14ac:dyDescent="0.3">
      <c r="A3" t="s">
        <v>199</v>
      </c>
      <c r="B3">
        <f ca="1">'Modello P-C SJF'!$D9</f>
        <v>0.43711520171939677</v>
      </c>
      <c r="C3">
        <f t="shared" ref="C3:C66" ca="1" si="0">SMALL($B$3:$B$202, ROW(A1))</f>
        <v>1.9511546520467089E-4</v>
      </c>
      <c r="D3" s="28" t="s">
        <v>252</v>
      </c>
      <c r="E3" s="29">
        <f ca="1">AVERAGE(B3:B202)</f>
        <v>1.0457284326108414</v>
      </c>
      <c r="F3">
        <f t="shared" ref="F3:F66" ca="1" si="1">$E$2*EXP(-$E$2*$C3)</f>
        <v>0.99980490356857976</v>
      </c>
      <c r="V3">
        <f t="shared" ref="V3:V66" ca="1" si="2">($B3-$E$3)^2</f>
        <v>0.37041006481612282</v>
      </c>
    </row>
    <row r="4" spans="1:22" x14ac:dyDescent="0.3">
      <c r="A4" t="s">
        <v>198</v>
      </c>
      <c r="B4">
        <f ca="1">'Modello P-C SJF'!$D10</f>
        <v>2.0052778044218393</v>
      </c>
      <c r="C4">
        <f t="shared" ca="1" si="0"/>
        <v>5.0842471082502873E-3</v>
      </c>
      <c r="D4" s="28" t="s">
        <v>298</v>
      </c>
      <c r="E4" s="29">
        <f>2/E2^2</f>
        <v>2</v>
      </c>
      <c r="F4">
        <f t="shared" ca="1" si="1"/>
        <v>0.99492865579962619</v>
      </c>
      <c r="V4">
        <f t="shared" ca="1" si="2"/>
        <v>0.92073499694288086</v>
      </c>
    </row>
    <row r="5" spans="1:22" x14ac:dyDescent="0.3">
      <c r="A5" t="s">
        <v>197</v>
      </c>
      <c r="B5">
        <f ca="1">'Modello P-C SJF'!$D11</f>
        <v>1.7520521740613202</v>
      </c>
      <c r="C5">
        <f t="shared" ca="1" si="0"/>
        <v>1.3402555674646139E-2</v>
      </c>
      <c r="F5">
        <f t="shared" ca="1" si="1"/>
        <v>0.98668685866867178</v>
      </c>
      <c r="V5">
        <f t="shared" ca="1" si="2"/>
        <v>0.49889322773660288</v>
      </c>
    </row>
    <row r="6" spans="1:22" x14ac:dyDescent="0.3">
      <c r="A6" t="s">
        <v>196</v>
      </c>
      <c r="B6">
        <f ca="1">'Modello P-C SJF'!$D12</f>
        <v>2.8020642130684905</v>
      </c>
      <c r="C6">
        <f t="shared" ca="1" si="0"/>
        <v>2.2657094926113501E-2</v>
      </c>
      <c r="F6">
        <f t="shared" ca="1" si="1"/>
        <v>0.97759764949921168</v>
      </c>
      <c r="V6">
        <f t="shared" ca="1" si="2"/>
        <v>3.0847153737157798</v>
      </c>
    </row>
    <row r="7" spans="1:22" x14ac:dyDescent="0.3">
      <c r="A7" t="s">
        <v>195</v>
      </c>
      <c r="B7">
        <f ca="1">'Modello P-C SJF'!$D13</f>
        <v>0.72035772379527307</v>
      </c>
      <c r="C7">
        <f t="shared" ca="1" si="0"/>
        <v>2.8152244118326081E-2</v>
      </c>
      <c r="F7">
        <f t="shared" ca="1" si="1"/>
        <v>0.97224033766024165</v>
      </c>
      <c r="V7">
        <f t="shared" ca="1" si="2"/>
        <v>0.10586609815514533</v>
      </c>
    </row>
    <row r="8" spans="1:22" x14ac:dyDescent="0.3">
      <c r="A8" t="s">
        <v>194</v>
      </c>
      <c r="B8">
        <f ca="1">'Modello P-C SJF'!$D14</f>
        <v>0.23432620694155346</v>
      </c>
      <c r="C8">
        <f t="shared" ca="1" si="0"/>
        <v>3.7764641805111791E-2</v>
      </c>
      <c r="F8">
        <f t="shared" ca="1" si="1"/>
        <v>0.96293954993726516</v>
      </c>
      <c r="V8">
        <f t="shared" ca="1" si="2"/>
        <v>0.65837357182107392</v>
      </c>
    </row>
    <row r="9" spans="1:22" x14ac:dyDescent="0.3">
      <c r="A9" t="s">
        <v>193</v>
      </c>
      <c r="B9">
        <f ca="1">'Modello P-C SJF'!$D15</f>
        <v>0.9165582850391244</v>
      </c>
      <c r="C9">
        <f t="shared" ca="1" si="0"/>
        <v>4.487331803449876E-2</v>
      </c>
      <c r="F9">
        <f t="shared" ca="1" si="1"/>
        <v>0.95611859714451364</v>
      </c>
      <c r="V9">
        <f t="shared" ca="1" si="2"/>
        <v>1.6684927023699139E-2</v>
      </c>
    </row>
    <row r="10" spans="1:22" x14ac:dyDescent="0.3">
      <c r="A10" t="s">
        <v>192</v>
      </c>
      <c r="B10">
        <f ca="1">'Modello P-C SJF'!$D16</f>
        <v>1.175957705009933</v>
      </c>
      <c r="C10">
        <f t="shared" ca="1" si="0"/>
        <v>5.2772888618898728E-2</v>
      </c>
      <c r="F10">
        <f t="shared" ca="1" si="1"/>
        <v>0.94859542483711468</v>
      </c>
      <c r="V10">
        <f t="shared" ca="1" si="2"/>
        <v>1.6959663389596816E-2</v>
      </c>
    </row>
    <row r="11" spans="1:22" x14ac:dyDescent="0.3">
      <c r="A11" t="s">
        <v>191</v>
      </c>
      <c r="B11">
        <f ca="1">'Modello P-C SJF'!$D17</f>
        <v>1.5564070688384215</v>
      </c>
      <c r="C11">
        <f t="shared" ca="1" si="0"/>
        <v>5.7240182790369867E-2</v>
      </c>
      <c r="F11">
        <f t="shared" ca="1" si="1"/>
        <v>0.9443672213707589</v>
      </c>
      <c r="V11">
        <f t="shared" ca="1" si="2"/>
        <v>0.26079266949926111</v>
      </c>
    </row>
    <row r="12" spans="1:22" x14ac:dyDescent="0.3">
      <c r="A12" t="s">
        <v>190</v>
      </c>
      <c r="B12">
        <f ca="1">'Modello P-C SJF'!$D18</f>
        <v>0.53346178741536621</v>
      </c>
      <c r="C12">
        <f t="shared" ca="1" si="0"/>
        <v>5.8776306547970052E-2</v>
      </c>
      <c r="F12">
        <f t="shared" ca="1" si="1"/>
        <v>0.94291767007624239</v>
      </c>
      <c r="V12">
        <f t="shared" ca="1" si="2"/>
        <v>0.26241711577982685</v>
      </c>
    </row>
    <row r="13" spans="1:22" x14ac:dyDescent="0.3">
      <c r="A13" t="s">
        <v>189</v>
      </c>
      <c r="B13">
        <f ca="1">'Modello P-C SJF'!$D19</f>
        <v>0.61431282058827419</v>
      </c>
      <c r="C13">
        <f t="shared" ca="1" si="0"/>
        <v>6.6118654073616098E-2</v>
      </c>
      <c r="F13">
        <f t="shared" ca="1" si="1"/>
        <v>0.9360197951406668</v>
      </c>
      <c r="V13">
        <f t="shared" ca="1" si="2"/>
        <v>0.18611943029680619</v>
      </c>
    </row>
    <row r="14" spans="1:22" x14ac:dyDescent="0.3">
      <c r="A14" t="s">
        <v>188</v>
      </c>
      <c r="B14">
        <f ca="1">'Modello P-C SJF'!$D20</f>
        <v>1.8580216334432982</v>
      </c>
      <c r="C14">
        <f t="shared" ca="1" si="0"/>
        <v>7.4353298936563741E-2</v>
      </c>
      <c r="F14">
        <f t="shared" ca="1" si="1"/>
        <v>0.92834365307107602</v>
      </c>
      <c r="V14">
        <f t="shared" ca="1" si="2"/>
        <v>0.65982024411863804</v>
      </c>
    </row>
    <row r="15" spans="1:22" x14ac:dyDescent="0.3">
      <c r="A15" t="s">
        <v>187</v>
      </c>
      <c r="B15">
        <f ca="1">'Modello P-C SJF'!$D21</f>
        <v>9.6958388053781486E-2</v>
      </c>
      <c r="C15">
        <f t="shared" ca="1" si="0"/>
        <v>7.9741216213209815E-2</v>
      </c>
      <c r="F15">
        <f t="shared" ca="1" si="1"/>
        <v>0.92335526484317976</v>
      </c>
      <c r="V15">
        <f t="shared" ca="1" si="2"/>
        <v>0.9001645974488055</v>
      </c>
    </row>
    <row r="16" spans="1:22" x14ac:dyDescent="0.3">
      <c r="A16" t="s">
        <v>186</v>
      </c>
      <c r="B16">
        <f ca="1">'Modello P-C SJF'!$D22</f>
        <v>0.65752450077313007</v>
      </c>
      <c r="C16">
        <f t="shared" ca="1" si="0"/>
        <v>8.2496570356666396E-2</v>
      </c>
      <c r="F16">
        <f t="shared" ca="1" si="1"/>
        <v>0.92081459591702941</v>
      </c>
      <c r="V16">
        <f t="shared" ca="1" si="2"/>
        <v>0.15070229269425839</v>
      </c>
    </row>
    <row r="17" spans="1:22" x14ac:dyDescent="0.3">
      <c r="A17" t="s">
        <v>185</v>
      </c>
      <c r="B17">
        <f ca="1">'Modello P-C SJF'!$D23</f>
        <v>1.5520756349051883</v>
      </c>
      <c r="C17">
        <f t="shared" ca="1" si="0"/>
        <v>8.6992566377734545E-2</v>
      </c>
      <c r="F17">
        <f t="shared" ca="1" si="1"/>
        <v>0.91668390988974791</v>
      </c>
      <c r="V17">
        <f t="shared" ca="1" si="2"/>
        <v>0.25638748927131227</v>
      </c>
    </row>
    <row r="18" spans="1:22" x14ac:dyDescent="0.3">
      <c r="A18" t="s">
        <v>184</v>
      </c>
      <c r="B18">
        <f ca="1">'Modello P-C SJF'!$D24</f>
        <v>1.3402555674646139E-2</v>
      </c>
      <c r="C18">
        <f t="shared" ca="1" si="0"/>
        <v>8.7744523731098562E-2</v>
      </c>
      <c r="F18">
        <f t="shared" ca="1" si="1"/>
        <v>0.91599486178285916</v>
      </c>
      <c r="V18">
        <f t="shared" ca="1" si="2"/>
        <v>1.0656967161920843</v>
      </c>
    </row>
    <row r="19" spans="1:22" x14ac:dyDescent="0.3">
      <c r="A19" t="s">
        <v>183</v>
      </c>
      <c r="B19">
        <f ca="1">'Modello P-C SJF'!$D25</f>
        <v>3.5534321138923302</v>
      </c>
      <c r="C19">
        <f t="shared" ca="1" si="0"/>
        <v>8.8353272608942643E-2</v>
      </c>
      <c r="F19">
        <f t="shared" ca="1" si="1"/>
        <v>0.91543742062669153</v>
      </c>
      <c r="V19">
        <f t="shared" ca="1" si="2"/>
        <v>6.2885777531127305</v>
      </c>
    </row>
    <row r="20" spans="1:22" x14ac:dyDescent="0.3">
      <c r="A20" t="s">
        <v>182</v>
      </c>
      <c r="B20">
        <f ca="1">'Modello P-C SJF'!$D26</f>
        <v>0.13006031963243403</v>
      </c>
      <c r="C20">
        <f t="shared" ca="1" si="0"/>
        <v>8.9032487139011601E-2</v>
      </c>
      <c r="F20">
        <f t="shared" ca="1" si="1"/>
        <v>0.91481585334189441</v>
      </c>
      <c r="V20">
        <f t="shared" ca="1" si="2"/>
        <v>0.83844809312543733</v>
      </c>
    </row>
    <row r="21" spans="1:22" x14ac:dyDescent="0.3">
      <c r="A21" t="s">
        <v>181</v>
      </c>
      <c r="B21">
        <f ca="1">'Modello P-C SJF'!$D27</f>
        <v>0.47759252182808487</v>
      </c>
      <c r="C21">
        <f t="shared" ca="1" si="0"/>
        <v>9.558816314030022E-2</v>
      </c>
      <c r="F21">
        <f t="shared" ca="1" si="1"/>
        <v>0.90883823208892023</v>
      </c>
      <c r="V21">
        <f t="shared" ca="1" si="2"/>
        <v>0.32277841312095223</v>
      </c>
    </row>
    <row r="22" spans="1:22" x14ac:dyDescent="0.3">
      <c r="A22" t="s">
        <v>180</v>
      </c>
      <c r="B22">
        <f ca="1">'Modello P-C SJF'!$D28</f>
        <v>0.7297231761350601</v>
      </c>
      <c r="C22">
        <f t="shared" ca="1" si="0"/>
        <v>9.6958388053781486E-2</v>
      </c>
      <c r="F22">
        <f t="shared" ca="1" si="1"/>
        <v>0.90759377209074221</v>
      </c>
      <c r="V22">
        <f t="shared" ca="1" si="2"/>
        <v>9.9859322120324293E-2</v>
      </c>
    </row>
    <row r="23" spans="1:22" x14ac:dyDescent="0.3">
      <c r="A23" t="s">
        <v>179</v>
      </c>
      <c r="B23">
        <f ca="1">'Modello P-C SJF'!$D29</f>
        <v>3.6321735688303884</v>
      </c>
      <c r="C23">
        <f t="shared" ca="1" si="0"/>
        <v>0.10219410328396998</v>
      </c>
      <c r="F23">
        <f t="shared" ca="1" si="1"/>
        <v>0.90285428767758436</v>
      </c>
      <c r="V23">
        <f t="shared" ca="1" si="2"/>
        <v>6.6896984426737518</v>
      </c>
    </row>
    <row r="24" spans="1:22" x14ac:dyDescent="0.3">
      <c r="A24" t="s">
        <v>178</v>
      </c>
      <c r="B24">
        <f ca="1">'Modello P-C SJF'!$D30</f>
        <v>0.59201303374234882</v>
      </c>
      <c r="C24">
        <f t="shared" ca="1" si="0"/>
        <v>0.10556357188521032</v>
      </c>
      <c r="F24">
        <f t="shared" ca="1" si="1"/>
        <v>0.89981726794842276</v>
      </c>
      <c r="H24" t="s">
        <v>253</v>
      </c>
      <c r="K24">
        <f ca="1">V204/('Modello P-C SJF'!C5-1)</f>
        <v>1.0975740207118696</v>
      </c>
      <c r="P24" t="s">
        <v>296</v>
      </c>
      <c r="Q24">
        <f ca="1">('Modello P-C SJF'!C5 -1) * K24</f>
        <v>218.41723012166204</v>
      </c>
      <c r="V24">
        <f t="shared" ca="1" si="2"/>
        <v>0.20585766317039528</v>
      </c>
    </row>
    <row r="25" spans="1:22" x14ac:dyDescent="0.3">
      <c r="A25" t="s">
        <v>177</v>
      </c>
      <c r="B25">
        <f ca="1">'Modello P-C SJF'!$D31</f>
        <v>1.5813912778050025</v>
      </c>
      <c r="C25">
        <f t="shared" ca="1" si="0"/>
        <v>0.10606019859254461</v>
      </c>
      <c r="F25">
        <f t="shared" ca="1" si="1"/>
        <v>0.89937050560767651</v>
      </c>
      <c r="H25" t="s">
        <v>254</v>
      </c>
      <c r="K25">
        <f ca="1">SQRT(K24)</f>
        <v>1.0476516695504616</v>
      </c>
      <c r="V25">
        <f t="shared" ca="1" si="2"/>
        <v>0.28693468372150388</v>
      </c>
    </row>
    <row r="26" spans="1:22" x14ac:dyDescent="0.3">
      <c r="A26" t="s">
        <v>176</v>
      </c>
      <c r="B26">
        <f ca="1">'Modello P-C SJF'!$D32</f>
        <v>0.19894015037996277</v>
      </c>
      <c r="C26">
        <f t="shared" ca="1" si="0"/>
        <v>0.11842034972443499</v>
      </c>
      <c r="F26">
        <f t="shared" ca="1" si="1"/>
        <v>0.8883225679763761</v>
      </c>
      <c r="H26" s="30" t="s">
        <v>255</v>
      </c>
      <c r="I26" s="29">
        <v>0.05</v>
      </c>
      <c r="Q26">
        <f>CHIINV(I26/2,'Modello P-C SJF'!C5-1)</f>
        <v>239.95968182764423</v>
      </c>
      <c r="V26">
        <f t="shared" ca="1" si="2"/>
        <v>0.71705039492352196</v>
      </c>
    </row>
    <row r="27" spans="1:22" x14ac:dyDescent="0.3">
      <c r="A27" t="s">
        <v>175</v>
      </c>
      <c r="B27">
        <f ca="1">'Modello P-C SJF'!$D33</f>
        <v>1.3377016743093204</v>
      </c>
      <c r="C27">
        <f t="shared" ca="1" si="0"/>
        <v>0.12023859214679512</v>
      </c>
      <c r="F27">
        <f t="shared" ca="1" si="1"/>
        <v>0.88670884970862773</v>
      </c>
      <c r="V27">
        <f t="shared" ca="1" si="2"/>
        <v>8.5248373867918462E-2</v>
      </c>
    </row>
    <row r="28" spans="1:22" x14ac:dyDescent="0.3">
      <c r="A28" t="s">
        <v>174</v>
      </c>
      <c r="B28">
        <f ca="1">'Modello P-C SJF'!$D34</f>
        <v>0.66270388392557045</v>
      </c>
      <c r="C28">
        <f t="shared" ca="1" si="0"/>
        <v>0.13006031963243403</v>
      </c>
      <c r="F28">
        <f t="shared" ca="1" si="1"/>
        <v>0.87804246612435077</v>
      </c>
      <c r="J28">
        <f>NORMSINV(1-(I26/2))</f>
        <v>1.9599639845400536</v>
      </c>
      <c r="Q28">
        <f>CHIINV(1-(I26/2),'Modello P-C SJF'!C5-1)</f>
        <v>161.82618239364686</v>
      </c>
      <c r="V28">
        <f t="shared" ca="1" si="2"/>
        <v>0.14670780489555546</v>
      </c>
    </row>
    <row r="29" spans="1:22" x14ac:dyDescent="0.3">
      <c r="A29" t="s">
        <v>173</v>
      </c>
      <c r="B29">
        <f ca="1">'Modello P-C SJF'!$D35</f>
        <v>1.2629767812131345</v>
      </c>
      <c r="C29">
        <f t="shared" ca="1" si="0"/>
        <v>0.1330113530688751</v>
      </c>
      <c r="F29">
        <f t="shared" ca="1" si="1"/>
        <v>0.87545515294970278</v>
      </c>
      <c r="V29">
        <f t="shared" ca="1" si="2"/>
        <v>4.7196844970423486E-2</v>
      </c>
    </row>
    <row r="30" spans="1:22" x14ac:dyDescent="0.3">
      <c r="A30" t="s">
        <v>172</v>
      </c>
      <c r="B30">
        <f ca="1">'Modello P-C SJF'!$D36</f>
        <v>1.4552289926474684</v>
      </c>
      <c r="C30">
        <f t="shared" ca="1" si="0"/>
        <v>0.14133687333971268</v>
      </c>
      <c r="F30">
        <f t="shared" ca="1" si="1"/>
        <v>0.86819679007686557</v>
      </c>
      <c r="V30">
        <f t="shared" ca="1" si="2"/>
        <v>0.16769070867031119</v>
      </c>
    </row>
    <row r="31" spans="1:22" x14ac:dyDescent="0.3">
      <c r="A31" t="s">
        <v>171</v>
      </c>
      <c r="B31">
        <f ca="1">'Modello P-C SJF'!$D37</f>
        <v>0.32404540900233986</v>
      </c>
      <c r="C31">
        <f t="shared" ca="1" si="0"/>
        <v>0.17313008722332385</v>
      </c>
      <c r="F31">
        <f t="shared" ca="1" si="1"/>
        <v>0.84102820070471995</v>
      </c>
      <c r="H31" t="s">
        <v>256</v>
      </c>
      <c r="K31">
        <f ca="1">E3-((K25/SQRT('Modello P-C SJF'!C5))*J28)</f>
        <v>0.9005339870692104</v>
      </c>
      <c r="M31" t="s">
        <v>258</v>
      </c>
      <c r="P31" t="s">
        <v>256</v>
      </c>
      <c r="R31">
        <f ca="1">Q24/Q26</f>
        <v>0.91022470299216562</v>
      </c>
      <c r="T31" t="s">
        <v>297</v>
      </c>
      <c r="V31">
        <f t="shared" ca="1" si="2"/>
        <v>0.52082638656470881</v>
      </c>
    </row>
    <row r="32" spans="1:22" x14ac:dyDescent="0.3">
      <c r="A32" t="s">
        <v>170</v>
      </c>
      <c r="B32">
        <f ca="1">'Modello P-C SJF'!$D38</f>
        <v>2.449819120016588</v>
      </c>
      <c r="C32">
        <f t="shared" ca="1" si="0"/>
        <v>0.17670851999109558</v>
      </c>
      <c r="F32">
        <f t="shared" ca="1" si="1"/>
        <v>0.8380240161746394</v>
      </c>
      <c r="H32" t="s">
        <v>257</v>
      </c>
      <c r="K32">
        <f ca="1">E3+((K25/SQRT('Modello P-C SJF'!C5))*J28)</f>
        <v>1.1909228781524723</v>
      </c>
      <c r="M32" s="22">
        <f>1/E2</f>
        <v>1</v>
      </c>
      <c r="P32" t="s">
        <v>257</v>
      </c>
      <c r="R32">
        <f ca="1">Q24/Q28</f>
        <v>1.3497026679549038</v>
      </c>
      <c r="T32" s="22">
        <f>E4-E2^2</f>
        <v>1</v>
      </c>
      <c r="V32">
        <f t="shared" ca="1" si="2"/>
        <v>1.9714706584595421</v>
      </c>
    </row>
    <row r="33" spans="1:22" x14ac:dyDescent="0.3">
      <c r="A33" t="s">
        <v>169</v>
      </c>
      <c r="B33">
        <f ca="1">'Modello P-C SJF'!$D39</f>
        <v>0.72840613293362289</v>
      </c>
      <c r="C33">
        <f t="shared" ca="1" si="0"/>
        <v>0.19171801149732456</v>
      </c>
      <c r="F33">
        <f t="shared" ca="1" si="1"/>
        <v>0.82553962835603656</v>
      </c>
      <c r="V33">
        <f t="shared" ca="1" si="2"/>
        <v>0.10069344187243845</v>
      </c>
    </row>
    <row r="34" spans="1:22" x14ac:dyDescent="0.3">
      <c r="A34" t="s">
        <v>168</v>
      </c>
      <c r="B34">
        <f ca="1">'Modello P-C SJF'!$D40</f>
        <v>2.2657094926113501E-2</v>
      </c>
      <c r="C34">
        <f t="shared" ca="1" si="0"/>
        <v>0.19894015037996277</v>
      </c>
      <c r="F34">
        <f t="shared" ca="1" si="1"/>
        <v>0.81959894455047688</v>
      </c>
      <c r="V34">
        <f t="shared" ca="1" si="2"/>
        <v>1.0466749619920184</v>
      </c>
    </row>
    <row r="35" spans="1:22" x14ac:dyDescent="0.3">
      <c r="A35" t="s">
        <v>167</v>
      </c>
      <c r="B35">
        <f ca="1">'Modello P-C SJF'!$D41</f>
        <v>0.26726341171447365</v>
      </c>
      <c r="C35">
        <f t="shared" ca="1" si="0"/>
        <v>0.20037401019527495</v>
      </c>
      <c r="F35">
        <f t="shared" ca="1" si="1"/>
        <v>0.81842459668552048</v>
      </c>
      <c r="V35">
        <f t="shared" ca="1" si="2"/>
        <v>0.60600778875918226</v>
      </c>
    </row>
    <row r="36" spans="1:22" x14ac:dyDescent="0.3">
      <c r="A36" t="s">
        <v>166</v>
      </c>
      <c r="B36">
        <f ca="1">'Modello P-C SJF'!$D42</f>
        <v>0.19171801149732456</v>
      </c>
      <c r="C36">
        <f t="shared" ca="1" si="0"/>
        <v>0.2023840319719995</v>
      </c>
      <c r="F36">
        <f t="shared" ca="1" si="1"/>
        <v>0.81678119761084289</v>
      </c>
      <c r="J36" s="31" t="s">
        <v>259</v>
      </c>
      <c r="K36" s="2"/>
      <c r="L36" s="31" t="s">
        <v>260</v>
      </c>
      <c r="M36" s="2"/>
      <c r="V36">
        <f t="shared" ca="1" si="2"/>
        <v>0.72933379937048626</v>
      </c>
    </row>
    <row r="37" spans="1:22" x14ac:dyDescent="0.3">
      <c r="A37" t="s">
        <v>165</v>
      </c>
      <c r="B37">
        <f ca="1">'Modello P-C SJF'!$D43</f>
        <v>1.4202649578856954</v>
      </c>
      <c r="C37">
        <f t="shared" ca="1" si="0"/>
        <v>0.2104292594348435</v>
      </c>
      <c r="F37">
        <f t="shared" ca="1" si="1"/>
        <v>0.81023636970479518</v>
      </c>
      <c r="J37" s="31" t="s">
        <v>261</v>
      </c>
      <c r="K37" s="31" t="s">
        <v>262</v>
      </c>
      <c r="L37" s="31" t="s">
        <v>261</v>
      </c>
      <c r="M37" s="31" t="s">
        <v>262</v>
      </c>
      <c r="V37">
        <f t="shared" ca="1" si="2"/>
        <v>0.14027760876496137</v>
      </c>
    </row>
    <row r="38" spans="1:22" x14ac:dyDescent="0.3">
      <c r="A38" t="s">
        <v>164</v>
      </c>
      <c r="B38">
        <f ca="1">'Modello P-C SJF'!$D44</f>
        <v>0.77702191653927233</v>
      </c>
      <c r="C38">
        <f t="shared" ca="1" si="0"/>
        <v>0.21180365672261828</v>
      </c>
      <c r="F38">
        <f t="shared" ca="1" si="1"/>
        <v>0.80912354794059738</v>
      </c>
      <c r="J38" s="2">
        <f ca="1">K31</f>
        <v>0.9005339870692104</v>
      </c>
      <c r="K38" s="2">
        <v>0</v>
      </c>
      <c r="L38" s="2">
        <f ca="1">K32</f>
        <v>1.1909228781524723</v>
      </c>
      <c r="M38" s="2">
        <v>0</v>
      </c>
      <c r="V38">
        <f t="shared" ca="1" si="2"/>
        <v>7.2203191779320386E-2</v>
      </c>
    </row>
    <row r="39" spans="1:22" x14ac:dyDescent="0.3">
      <c r="A39" t="s">
        <v>163</v>
      </c>
      <c r="B39">
        <f ca="1">'Modello P-C SJF'!$D45</f>
        <v>7.4353298936563741E-2</v>
      </c>
      <c r="C39">
        <f t="shared" ca="1" si="0"/>
        <v>0.21892699162343734</v>
      </c>
      <c r="F39">
        <f t="shared" ca="1" si="1"/>
        <v>0.80338036950912051</v>
      </c>
      <c r="J39" s="2">
        <f ca="1">J38</f>
        <v>0.9005339870692104</v>
      </c>
      <c r="K39" s="2">
        <f ca="1">$E$2*EXP(-$E$2*J39)</f>
        <v>0.40635261475432982</v>
      </c>
      <c r="L39" s="2">
        <f ca="1">L38</f>
        <v>1.1909228781524723</v>
      </c>
      <c r="M39" s="2">
        <f ca="1">$E$2*EXP(-$E$2*L39)</f>
        <v>0.30394063442198116</v>
      </c>
      <c r="V39">
        <f t="shared" ca="1" si="2"/>
        <v>0.94356965032072071</v>
      </c>
    </row>
    <row r="40" spans="1:22" x14ac:dyDescent="0.3">
      <c r="A40" t="s">
        <v>162</v>
      </c>
      <c r="B40">
        <f ca="1">'Modello P-C SJF'!$D46</f>
        <v>0.22501134677517304</v>
      </c>
      <c r="C40">
        <f t="shared" ca="1" si="0"/>
        <v>0.22501134677517304</v>
      </c>
      <c r="F40">
        <f t="shared" ca="1" si="1"/>
        <v>0.79850715822677476</v>
      </c>
      <c r="J40" s="2"/>
      <c r="K40" s="2"/>
      <c r="L40" s="2"/>
      <c r="M40" s="2"/>
      <c r="V40">
        <f t="shared" ca="1" si="2"/>
        <v>0.67357653498259162</v>
      </c>
    </row>
    <row r="41" spans="1:22" x14ac:dyDescent="0.3">
      <c r="A41" t="s">
        <v>161</v>
      </c>
      <c r="B41">
        <f ca="1">'Modello P-C SJF'!$D47</f>
        <v>1.2157931112469933</v>
      </c>
      <c r="C41">
        <f t="shared" ca="1" si="0"/>
        <v>0.23432620694155346</v>
      </c>
      <c r="F41">
        <f t="shared" ca="1" si="1"/>
        <v>0.79110371027816917</v>
      </c>
      <c r="J41" s="31" t="s">
        <v>263</v>
      </c>
      <c r="K41" s="2"/>
      <c r="L41" s="2"/>
      <c r="M41" s="2"/>
      <c r="V41">
        <f t="shared" ca="1" si="2"/>
        <v>2.8921994919617632E-2</v>
      </c>
    </row>
    <row r="42" spans="1:22" x14ac:dyDescent="0.3">
      <c r="A42" t="s">
        <v>160</v>
      </c>
      <c r="B42">
        <f ca="1">'Modello P-C SJF'!$D48</f>
        <v>1.0279736943430557</v>
      </c>
      <c r="C42">
        <f t="shared" ca="1" si="0"/>
        <v>0.24063784085606291</v>
      </c>
      <c r="F42">
        <f t="shared" ca="1" si="1"/>
        <v>0.78612627766044774</v>
      </c>
      <c r="J42" s="31" t="s">
        <v>261</v>
      </c>
      <c r="K42" s="31" t="s">
        <v>262</v>
      </c>
      <c r="L42" s="2"/>
      <c r="M42" s="2"/>
      <c r="V42">
        <f t="shared" ca="1" si="2"/>
        <v>3.1523073095757111E-4</v>
      </c>
    </row>
    <row r="43" spans="1:22" x14ac:dyDescent="0.3">
      <c r="A43" t="s">
        <v>159</v>
      </c>
      <c r="B43">
        <f ca="1">'Modello P-C SJF'!$D49</f>
        <v>4.1805189812423782</v>
      </c>
      <c r="C43">
        <f t="shared" ca="1" si="0"/>
        <v>0.24095409099424142</v>
      </c>
      <c r="F43">
        <f t="shared" ca="1" si="1"/>
        <v>0.78587770442424376</v>
      </c>
      <c r="J43" s="2">
        <f>M32</f>
        <v>1</v>
      </c>
      <c r="K43" s="2">
        <f>$E$2*EXP(-$E$2*J43)</f>
        <v>0.36787944117144233</v>
      </c>
      <c r="L43" s="2"/>
      <c r="M43" s="2"/>
      <c r="V43">
        <f t="shared" ca="1" si="2"/>
        <v>9.8269117837896118</v>
      </c>
    </row>
    <row r="44" spans="1:22" x14ac:dyDescent="0.3">
      <c r="A44" t="s">
        <v>158</v>
      </c>
      <c r="B44">
        <f ca="1">'Modello P-C SJF'!$D50</f>
        <v>1.836282458246562</v>
      </c>
      <c r="C44">
        <f t="shared" ca="1" si="0"/>
        <v>0.25320598011704198</v>
      </c>
      <c r="F44">
        <f t="shared" ca="1" si="1"/>
        <v>0.77630796134934488</v>
      </c>
      <c r="V44">
        <f t="shared" ca="1" si="2"/>
        <v>0.62497566744884359</v>
      </c>
    </row>
    <row r="45" spans="1:22" x14ac:dyDescent="0.3">
      <c r="A45" t="s">
        <v>157</v>
      </c>
      <c r="B45">
        <f ca="1">'Modello P-C SJF'!$D51</f>
        <v>8.2496570356666396E-2</v>
      </c>
      <c r="C45">
        <f t="shared" ca="1" si="0"/>
        <v>0.25606913695408884</v>
      </c>
      <c r="F45">
        <f t="shared" ca="1" si="1"/>
        <v>0.7740884488246188</v>
      </c>
      <c r="V45">
        <f t="shared" ca="1" si="2"/>
        <v>0.92781562046164601</v>
      </c>
    </row>
    <row r="46" spans="1:22" x14ac:dyDescent="0.3">
      <c r="A46" t="s">
        <v>156</v>
      </c>
      <c r="B46">
        <f ca="1">'Modello P-C SJF'!$D52</f>
        <v>0.52271854262889073</v>
      </c>
      <c r="C46">
        <f t="shared" ca="1" si="0"/>
        <v>0.26082957352582248</v>
      </c>
      <c r="F46">
        <f t="shared" ca="1" si="1"/>
        <v>0.77041220706344604</v>
      </c>
      <c r="V46">
        <f t="shared" ca="1" si="2"/>
        <v>0.27353934501893212</v>
      </c>
    </row>
    <row r="47" spans="1:22" x14ac:dyDescent="0.3">
      <c r="A47" t="s">
        <v>155</v>
      </c>
      <c r="B47">
        <f ca="1">'Modello P-C SJF'!$D53</f>
        <v>6.6118654073616098E-2</v>
      </c>
      <c r="C47">
        <f t="shared" ca="1" si="0"/>
        <v>0.26329176872986038</v>
      </c>
      <c r="F47">
        <f t="shared" ca="1" si="1"/>
        <v>0.76851763518212057</v>
      </c>
      <c r="V47">
        <f t="shared" ca="1" si="2"/>
        <v>0.95963531820575165</v>
      </c>
    </row>
    <row r="48" spans="1:22" x14ac:dyDescent="0.3">
      <c r="A48" t="s">
        <v>154</v>
      </c>
      <c r="B48">
        <f ca="1">'Modello P-C SJF'!$D54</f>
        <v>0.12023859214679512</v>
      </c>
      <c r="C48">
        <f t="shared" ca="1" si="0"/>
        <v>0.26375317600066484</v>
      </c>
      <c r="F48">
        <f t="shared" ca="1" si="1"/>
        <v>0.76816311735234788</v>
      </c>
      <c r="V48">
        <f t="shared" ca="1" si="2"/>
        <v>0.85653144480216581</v>
      </c>
    </row>
    <row r="49" spans="1:22" x14ac:dyDescent="0.3">
      <c r="A49" t="s">
        <v>153</v>
      </c>
      <c r="B49">
        <f ca="1">'Modello P-C SJF'!$D55</f>
        <v>0.3897698308568322</v>
      </c>
      <c r="C49">
        <f t="shared" ca="1" si="0"/>
        <v>0.26726341171447365</v>
      </c>
      <c r="F49">
        <f t="shared" ca="1" si="1"/>
        <v>0.76547141076995373</v>
      </c>
      <c r="V49">
        <f t="shared" ca="1" si="2"/>
        <v>0.4302816872150747</v>
      </c>
    </row>
    <row r="50" spans="1:22" x14ac:dyDescent="0.3">
      <c r="A50" t="s">
        <v>152</v>
      </c>
      <c r="B50">
        <f ca="1">'Modello P-C SJF'!$D56</f>
        <v>2.220732939132867</v>
      </c>
      <c r="C50">
        <f t="shared" ca="1" si="0"/>
        <v>0.27110051958542214</v>
      </c>
      <c r="F50">
        <f t="shared" ca="1" si="1"/>
        <v>0.76253984236369143</v>
      </c>
      <c r="V50">
        <f t="shared" ca="1" si="2"/>
        <v>1.3806355903470688</v>
      </c>
    </row>
    <row r="51" spans="1:22" x14ac:dyDescent="0.3">
      <c r="A51" t="s">
        <v>151</v>
      </c>
      <c r="B51">
        <f ca="1">'Modello P-C SJF'!$D57</f>
        <v>0.3688079125299088</v>
      </c>
      <c r="C51">
        <f t="shared" ca="1" si="0"/>
        <v>0.27365943949820287</v>
      </c>
      <c r="F51">
        <f t="shared" ca="1" si="1"/>
        <v>0.76059105843118147</v>
      </c>
      <c r="V51">
        <f t="shared" ca="1" si="2"/>
        <v>0.45822139050664012</v>
      </c>
    </row>
    <row r="52" spans="1:22" x14ac:dyDescent="0.3">
      <c r="A52" t="s">
        <v>150</v>
      </c>
      <c r="B52">
        <f ca="1">'Modello P-C SJF'!$D58</f>
        <v>2.0811960252085346</v>
      </c>
      <c r="C52">
        <f t="shared" ca="1" si="0"/>
        <v>0.27730378405561207</v>
      </c>
      <c r="F52">
        <f t="shared" ca="1" si="1"/>
        <v>0.75782424721589525</v>
      </c>
      <c r="V52">
        <f t="shared" ca="1" si="2"/>
        <v>1.0721931353200624</v>
      </c>
    </row>
    <row r="53" spans="1:22" x14ac:dyDescent="0.3">
      <c r="A53" t="s">
        <v>149</v>
      </c>
      <c r="B53">
        <f ca="1">'Modello P-C SJF'!$D59</f>
        <v>0.21180365672261828</v>
      </c>
      <c r="C53">
        <f t="shared" ca="1" si="0"/>
        <v>0.27888550012392554</v>
      </c>
      <c r="F53">
        <f t="shared" ca="1" si="1"/>
        <v>0.75662653189960305</v>
      </c>
      <c r="V53">
        <f t="shared" ca="1" si="2"/>
        <v>0.69543053184022319</v>
      </c>
    </row>
    <row r="54" spans="1:22" x14ac:dyDescent="0.3">
      <c r="A54" t="s">
        <v>148</v>
      </c>
      <c r="B54">
        <f ca="1">'Modello P-C SJF'!$D60</f>
        <v>5.2772888618898728E-2</v>
      </c>
      <c r="C54">
        <f t="shared" ca="1" si="0"/>
        <v>0.28569406207328885</v>
      </c>
      <c r="F54">
        <f t="shared" ca="1" si="1"/>
        <v>0.75149249083595493</v>
      </c>
      <c r="V54">
        <f t="shared" ca="1" si="2"/>
        <v>0.98596071234433469</v>
      </c>
    </row>
    <row r="55" spans="1:22" x14ac:dyDescent="0.3">
      <c r="A55" t="s">
        <v>147</v>
      </c>
      <c r="B55">
        <f ca="1">'Modello P-C SJF'!$D61</f>
        <v>2.5274436709473944</v>
      </c>
      <c r="C55">
        <f t="shared" ca="1" si="0"/>
        <v>0.28968972046894992</v>
      </c>
      <c r="F55">
        <f t="shared" ca="1" si="1"/>
        <v>0.74849577447007509</v>
      </c>
      <c r="V55">
        <f t="shared" ca="1" si="2"/>
        <v>2.1954800475187484</v>
      </c>
    </row>
    <row r="56" spans="1:22" x14ac:dyDescent="0.3">
      <c r="A56" t="s">
        <v>146</v>
      </c>
      <c r="B56">
        <f ca="1">'Modello P-C SJF'!$D62</f>
        <v>0.66004373138093619</v>
      </c>
      <c r="C56">
        <f t="shared" ca="1" si="0"/>
        <v>0.2899853092330596</v>
      </c>
      <c r="F56">
        <f t="shared" ca="1" si="1"/>
        <v>0.7482745602249915</v>
      </c>
      <c r="V56">
        <f t="shared" ca="1" si="2"/>
        <v>0.14875268876280121</v>
      </c>
    </row>
    <row r="57" spans="1:22" x14ac:dyDescent="0.3">
      <c r="A57" t="s">
        <v>145</v>
      </c>
      <c r="B57">
        <f ca="1">'Modello P-C SJF'!$D63</f>
        <v>0.27888550012392554</v>
      </c>
      <c r="C57">
        <f t="shared" ca="1" si="0"/>
        <v>0.29876094773523554</v>
      </c>
      <c r="F57">
        <f t="shared" ca="1" si="1"/>
        <v>0.7417367020815534</v>
      </c>
      <c r="V57">
        <f t="shared" ca="1" si="2"/>
        <v>0.58804808310513257</v>
      </c>
    </row>
    <row r="58" spans="1:22" x14ac:dyDescent="0.3">
      <c r="A58" t="s">
        <v>144</v>
      </c>
      <c r="B58">
        <f ca="1">'Modello P-C SJF'!$D64</f>
        <v>1.9106489979271728</v>
      </c>
      <c r="C58">
        <f t="shared" ca="1" si="0"/>
        <v>0.31976010030850505</v>
      </c>
      <c r="F58">
        <f t="shared" ca="1" si="1"/>
        <v>0.7263232609009499</v>
      </c>
      <c r="V58">
        <f t="shared" ca="1" si="2"/>
        <v>0.7480875843071223</v>
      </c>
    </row>
    <row r="59" spans="1:22" x14ac:dyDescent="0.3">
      <c r="A59" t="s">
        <v>143</v>
      </c>
      <c r="B59">
        <f ca="1">'Modello P-C SJF'!$D65</f>
        <v>0.46542537260980577</v>
      </c>
      <c r="C59">
        <f t="shared" ca="1" si="0"/>
        <v>0.32404540900233986</v>
      </c>
      <c r="F59">
        <f t="shared" ca="1" si="1"/>
        <v>0.72321740105354548</v>
      </c>
      <c r="V59">
        <f t="shared" ca="1" si="2"/>
        <v>0.3367516414465655</v>
      </c>
    </row>
    <row r="60" spans="1:22" x14ac:dyDescent="0.3">
      <c r="A60" t="s">
        <v>142</v>
      </c>
      <c r="B60">
        <f ca="1">'Modello P-C SJF'!$D66</f>
        <v>0.83344459396899206</v>
      </c>
      <c r="C60">
        <f t="shared" ca="1" si="0"/>
        <v>0.34830696026262231</v>
      </c>
      <c r="F60">
        <f t="shared" ca="1" si="1"/>
        <v>0.70588216518044389</v>
      </c>
      <c r="V60">
        <f t="shared" ca="1" si="2"/>
        <v>4.5064428148518708E-2</v>
      </c>
    </row>
    <row r="61" spans="1:22" x14ac:dyDescent="0.3">
      <c r="A61" t="s">
        <v>141</v>
      </c>
      <c r="B61">
        <f ca="1">'Modello P-C SJF'!$D67</f>
        <v>3.8346927374097799</v>
      </c>
      <c r="C61">
        <f t="shared" ca="1" si="0"/>
        <v>0.35122823983295082</v>
      </c>
      <c r="F61">
        <f t="shared" ca="1" si="1"/>
        <v>0.70382309505630702</v>
      </c>
      <c r="V61">
        <f t="shared" ca="1" si="2"/>
        <v>7.7783218934426266</v>
      </c>
    </row>
    <row r="62" spans="1:22" x14ac:dyDescent="0.3">
      <c r="A62" t="s">
        <v>140</v>
      </c>
      <c r="B62">
        <f ca="1">'Modello P-C SJF'!$D68</f>
        <v>1.2832330964914633</v>
      </c>
      <c r="C62">
        <f t="shared" ca="1" si="0"/>
        <v>0.35300906672441734</v>
      </c>
      <c r="F62">
        <f t="shared" ca="1" si="1"/>
        <v>0.70257082333232501</v>
      </c>
      <c r="V62">
        <f t="shared" ca="1" si="2"/>
        <v>5.640846536504722E-2</v>
      </c>
    </row>
    <row r="63" spans="1:22" x14ac:dyDescent="0.3">
      <c r="A63" t="s">
        <v>139</v>
      </c>
      <c r="B63">
        <f ca="1">'Modello P-C SJF'!$D69</f>
        <v>0.7817325218776574</v>
      </c>
      <c r="C63">
        <f t="shared" ca="1" si="0"/>
        <v>0.3688079125299088</v>
      </c>
      <c r="F63">
        <f t="shared" ca="1" si="1"/>
        <v>0.69155823736494326</v>
      </c>
      <c r="V63">
        <f t="shared" ca="1" si="2"/>
        <v>6.9693840883843228E-2</v>
      </c>
    </row>
    <row r="64" spans="1:22" x14ac:dyDescent="0.3">
      <c r="A64" t="s">
        <v>138</v>
      </c>
      <c r="B64">
        <f ca="1">'Modello P-C SJF'!$D70</f>
        <v>0.70060514959203246</v>
      </c>
      <c r="C64">
        <f t="shared" ca="1" si="0"/>
        <v>0.37091526440150657</v>
      </c>
      <c r="F64">
        <f t="shared" ca="1" si="1"/>
        <v>0.69010241532253347</v>
      </c>
      <c r="V64">
        <f t="shared" ca="1" si="2"/>
        <v>0.11911008048168087</v>
      </c>
    </row>
    <row r="65" spans="1:22" x14ac:dyDescent="0.3">
      <c r="A65" t="s">
        <v>137</v>
      </c>
      <c r="B65">
        <f ca="1">'Modello P-C SJF'!$D71</f>
        <v>0.70560327147532431</v>
      </c>
      <c r="C65">
        <f t="shared" ca="1" si="0"/>
        <v>0.37469804907454574</v>
      </c>
      <c r="F65">
        <f t="shared" ca="1" si="1"/>
        <v>0.68749683775949222</v>
      </c>
      <c r="V65">
        <f t="shared" ca="1" si="2"/>
        <v>0.11568512523746144</v>
      </c>
    </row>
    <row r="66" spans="1:22" x14ac:dyDescent="0.3">
      <c r="A66" t="s">
        <v>136</v>
      </c>
      <c r="B66">
        <f ca="1">'Modello P-C SJF'!$D72</f>
        <v>0.71149232148600272</v>
      </c>
      <c r="C66">
        <f t="shared" ca="1" si="0"/>
        <v>0.3897698308568322</v>
      </c>
      <c r="F66">
        <f t="shared" ca="1" si="1"/>
        <v>0.67721273003472338</v>
      </c>
      <c r="V66">
        <f t="shared" ca="1" si="2"/>
        <v>0.11171377797985549</v>
      </c>
    </row>
    <row r="67" spans="1:22" x14ac:dyDescent="0.3">
      <c r="A67" t="s">
        <v>135</v>
      </c>
      <c r="B67">
        <f ca="1">'Modello P-C SJF'!$D73</f>
        <v>0.25606913695408884</v>
      </c>
      <c r="C67">
        <f t="shared" ref="C67:C130" ca="1" si="3">SMALL($B$3:$B$202, ROW(A65))</f>
        <v>0.399950257945141</v>
      </c>
      <c r="F67">
        <f t="shared" ref="F67:F130" ca="1" si="4">$E$2*EXP(-$E$2*$C67)</f>
        <v>0.67035338996143312</v>
      </c>
      <c r="V67">
        <f t="shared" ref="V67:V130" ca="1" si="5">($B67-$E$3)^2</f>
        <v>0.62356180321711852</v>
      </c>
    </row>
    <row r="68" spans="1:22" x14ac:dyDescent="0.3">
      <c r="A68" t="s">
        <v>134</v>
      </c>
      <c r="B68">
        <f ca="1">'Modello P-C SJF'!$D74</f>
        <v>2.8152244118326081E-2</v>
      </c>
      <c r="C68">
        <f t="shared" ca="1" si="3"/>
        <v>0.40786081504181704</v>
      </c>
      <c r="F68">
        <f t="shared" ca="1" si="4"/>
        <v>0.66507144032127807</v>
      </c>
      <c r="V68">
        <f t="shared" ca="1" si="5"/>
        <v>1.0354612993869547</v>
      </c>
    </row>
    <row r="69" spans="1:22" x14ac:dyDescent="0.3">
      <c r="A69" t="s">
        <v>133</v>
      </c>
      <c r="B69">
        <f ca="1">'Modello P-C SJF'!$D75</f>
        <v>0.11842034972443499</v>
      </c>
      <c r="C69">
        <f t="shared" ca="1" si="3"/>
        <v>0.40879634005487719</v>
      </c>
      <c r="F69">
        <f t="shared" ca="1" si="4"/>
        <v>0.66444954030025583</v>
      </c>
      <c r="V69">
        <f t="shared" ca="1" si="5"/>
        <v>0.8599002805864624</v>
      </c>
    </row>
    <row r="70" spans="1:22" x14ac:dyDescent="0.3">
      <c r="A70" t="s">
        <v>132</v>
      </c>
      <c r="B70">
        <f ca="1">'Modello P-C SJF'!$D76</f>
        <v>0.34830696026262231</v>
      </c>
      <c r="C70">
        <f t="shared" ca="1" si="3"/>
        <v>0.41120370987237548</v>
      </c>
      <c r="F70">
        <f t="shared" ca="1" si="4"/>
        <v>0.66285188837279074</v>
      </c>
      <c r="V70">
        <f t="shared" ca="1" si="5"/>
        <v>0.48639671009235769</v>
      </c>
    </row>
    <row r="71" spans="1:22" x14ac:dyDescent="0.3">
      <c r="A71" t="s">
        <v>131</v>
      </c>
      <c r="B71">
        <f ca="1">'Modello P-C SJF'!$D77</f>
        <v>0.91410828850898462</v>
      </c>
      <c r="C71">
        <f t="shared" ca="1" si="3"/>
        <v>0.42531304976008122</v>
      </c>
      <c r="F71">
        <f t="shared" ca="1" si="4"/>
        <v>0.65356515468689069</v>
      </c>
      <c r="V71">
        <f t="shared" ca="1" si="5"/>
        <v>1.7323862333393534E-2</v>
      </c>
    </row>
    <row r="72" spans="1:22" x14ac:dyDescent="0.3">
      <c r="A72" t="s">
        <v>130</v>
      </c>
      <c r="B72">
        <f ca="1">'Modello P-C SJF'!$D78</f>
        <v>1.1649143220038309</v>
      </c>
      <c r="C72">
        <f t="shared" ca="1" si="3"/>
        <v>0.43588569258785037</v>
      </c>
      <c r="F72">
        <f t="shared" ca="1" si="4"/>
        <v>0.6466916433589156</v>
      </c>
      <c r="V72">
        <f t="shared" ca="1" si="5"/>
        <v>1.4205276230397945E-2</v>
      </c>
    </row>
    <row r="73" spans="1:22" x14ac:dyDescent="0.3">
      <c r="A73" t="s">
        <v>129</v>
      </c>
      <c r="B73">
        <f ca="1">'Modello P-C SJF'!$D79</f>
        <v>1.2605645910279308</v>
      </c>
      <c r="C73">
        <f t="shared" ca="1" si="3"/>
        <v>0.43711520171939677</v>
      </c>
      <c r="F73">
        <f t="shared" ca="1" si="4"/>
        <v>0.64589701867736449</v>
      </c>
      <c r="V73">
        <f t="shared" ca="1" si="5"/>
        <v>4.6154574963412763E-2</v>
      </c>
    </row>
    <row r="74" spans="1:22" x14ac:dyDescent="0.3">
      <c r="A74" t="s">
        <v>128</v>
      </c>
      <c r="B74">
        <f ca="1">'Modello P-C SJF'!$D80</f>
        <v>2.4077881567325243</v>
      </c>
      <c r="C74">
        <f t="shared" ca="1" si="3"/>
        <v>0.44023561286110252</v>
      </c>
      <c r="F74">
        <f t="shared" ca="1" si="4"/>
        <v>0.64388469569424411</v>
      </c>
      <c r="V74">
        <f t="shared" ca="1" si="5"/>
        <v>1.8552066920744352</v>
      </c>
    </row>
    <row r="75" spans="1:22" x14ac:dyDescent="0.3">
      <c r="A75" t="s">
        <v>127</v>
      </c>
      <c r="B75">
        <f ca="1">'Modello P-C SJF'!$D81</f>
        <v>0.80167553379484824</v>
      </c>
      <c r="C75">
        <f t="shared" ca="1" si="3"/>
        <v>0.46236266150823857</v>
      </c>
      <c r="F75">
        <f t="shared" ca="1" si="4"/>
        <v>0.62979389651620743</v>
      </c>
      <c r="V75">
        <f t="shared" ca="1" si="5"/>
        <v>5.9561817420489375E-2</v>
      </c>
    </row>
    <row r="76" spans="1:22" x14ac:dyDescent="0.3">
      <c r="A76" t="s">
        <v>126</v>
      </c>
      <c r="B76">
        <f ca="1">'Modello P-C SJF'!$D82</f>
        <v>0.2104292594348435</v>
      </c>
      <c r="C76">
        <f t="shared" ca="1" si="3"/>
        <v>0.46242019273676777</v>
      </c>
      <c r="F76">
        <f t="shared" ca="1" si="4"/>
        <v>0.6297576647418599</v>
      </c>
      <c r="V76">
        <f t="shared" ca="1" si="5"/>
        <v>0.69772470870850567</v>
      </c>
    </row>
    <row r="77" spans="1:22" x14ac:dyDescent="0.3">
      <c r="A77" t="s">
        <v>125</v>
      </c>
      <c r="B77">
        <f ca="1">'Modello P-C SJF'!$D83</f>
        <v>1.0213291025228057</v>
      </c>
      <c r="C77">
        <f t="shared" ca="1" si="3"/>
        <v>0.46542537260980577</v>
      </c>
      <c r="F77">
        <f t="shared" ca="1" si="4"/>
        <v>0.62786797054054511</v>
      </c>
      <c r="V77">
        <f t="shared" ca="1" si="5"/>
        <v>5.9532730874492089E-4</v>
      </c>
    </row>
    <row r="78" spans="1:22" x14ac:dyDescent="0.3">
      <c r="A78" t="s">
        <v>124</v>
      </c>
      <c r="B78">
        <f ca="1">'Modello P-C SJF'!$D84</f>
        <v>4.3502706881590836</v>
      </c>
      <c r="C78">
        <f t="shared" ca="1" si="3"/>
        <v>0.47185397097008502</v>
      </c>
      <c r="F78">
        <f t="shared" ca="1" si="4"/>
        <v>0.62384460568908218</v>
      </c>
      <c r="V78">
        <f t="shared" ca="1" si="5"/>
        <v>10.919999518703865</v>
      </c>
    </row>
    <row r="79" spans="1:22" x14ac:dyDescent="0.3">
      <c r="A79" t="s">
        <v>123</v>
      </c>
      <c r="B79">
        <f ca="1">'Modello P-C SJF'!$D85</f>
        <v>1.2241964637705145</v>
      </c>
      <c r="C79">
        <f t="shared" ca="1" si="3"/>
        <v>0.47759252182808487</v>
      </c>
      <c r="F79">
        <f t="shared" ca="1" si="4"/>
        <v>0.62027489397412472</v>
      </c>
      <c r="V79">
        <f t="shared" ca="1" si="5"/>
        <v>3.1850838146010058E-2</v>
      </c>
    </row>
    <row r="80" spans="1:22" x14ac:dyDescent="0.3">
      <c r="A80" t="s">
        <v>122</v>
      </c>
      <c r="B80">
        <f ca="1">'Modello P-C SJF'!$D86</f>
        <v>0.1330113530688751</v>
      </c>
      <c r="C80">
        <f t="shared" ca="1" si="3"/>
        <v>0.50056173265441217</v>
      </c>
      <c r="F80">
        <f t="shared" ca="1" si="4"/>
        <v>0.60619004731068149</v>
      </c>
      <c r="V80">
        <f t="shared" ca="1" si="5"/>
        <v>0.83305246728761595</v>
      </c>
    </row>
    <row r="81" spans="1:22" x14ac:dyDescent="0.3">
      <c r="A81" t="s">
        <v>121</v>
      </c>
      <c r="B81">
        <f ca="1">'Modello P-C SJF'!$D87</f>
        <v>1.7180638940260422</v>
      </c>
      <c r="C81">
        <f t="shared" ca="1" si="3"/>
        <v>0.51667064654597727</v>
      </c>
      <c r="F81">
        <f t="shared" ca="1" si="4"/>
        <v>0.59650321567943743</v>
      </c>
      <c r="V81">
        <f t="shared" ca="1" si="5"/>
        <v>0.45203497267639103</v>
      </c>
    </row>
    <row r="82" spans="1:22" x14ac:dyDescent="0.3">
      <c r="A82" t="s">
        <v>120</v>
      </c>
      <c r="B82">
        <f ca="1">'Modello P-C SJF'!$D88</f>
        <v>1.2343182826405044</v>
      </c>
      <c r="C82">
        <f t="shared" ca="1" si="3"/>
        <v>0.51748495951662621</v>
      </c>
      <c r="F82">
        <f t="shared" ca="1" si="4"/>
        <v>0.59601767309251952</v>
      </c>
      <c r="V82">
        <f t="shared" ca="1" si="5"/>
        <v>3.5566131534210781E-2</v>
      </c>
    </row>
    <row r="83" spans="1:22" x14ac:dyDescent="0.3">
      <c r="A83" t="s">
        <v>119</v>
      </c>
      <c r="B83">
        <f ca="1">'Modello P-C SJF'!$D89</f>
        <v>0.27365943949820287</v>
      </c>
      <c r="C83">
        <f t="shared" ca="1" si="3"/>
        <v>0.52271854262889073</v>
      </c>
      <c r="F83">
        <f t="shared" ca="1" si="4"/>
        <v>0.5929065134216881</v>
      </c>
      <c r="V83">
        <f t="shared" ca="1" si="5"/>
        <v>0.59609053012596347</v>
      </c>
    </row>
    <row r="84" spans="1:22" x14ac:dyDescent="0.3">
      <c r="A84" t="s">
        <v>118</v>
      </c>
      <c r="B84">
        <f ca="1">'Modello P-C SJF'!$D90</f>
        <v>1.1077789376329787</v>
      </c>
      <c r="C84">
        <f t="shared" ca="1" si="3"/>
        <v>0.53346178741536621</v>
      </c>
      <c r="F84">
        <f t="shared" ca="1" si="4"/>
        <v>0.58657086724818297</v>
      </c>
      <c r="V84">
        <f t="shared" ca="1" si="5"/>
        <v>3.8502651735022961E-3</v>
      </c>
    </row>
    <row r="85" spans="1:22" x14ac:dyDescent="0.3">
      <c r="A85" t="s">
        <v>117</v>
      </c>
      <c r="B85">
        <f ca="1">'Modello P-C SJF'!$D91</f>
        <v>0.37091526440150657</v>
      </c>
      <c r="C85">
        <f t="shared" ca="1" si="3"/>
        <v>0.55178356963753783</v>
      </c>
      <c r="F85">
        <f t="shared" ca="1" si="4"/>
        <v>0.57592169734445231</v>
      </c>
      <c r="V85">
        <f t="shared" ca="1" si="5"/>
        <v>0.45537281198871998</v>
      </c>
    </row>
    <row r="86" spans="1:22" x14ac:dyDescent="0.3">
      <c r="A86" t="s">
        <v>116</v>
      </c>
      <c r="B86">
        <f ca="1">'Modello P-C SJF'!$D92</f>
        <v>1.2814485888755647</v>
      </c>
      <c r="C86">
        <f t="shared" ca="1" si="3"/>
        <v>0.57419388854387199</v>
      </c>
      <c r="F86">
        <f t="shared" ca="1" si="4"/>
        <v>0.56315865452447966</v>
      </c>
      <c r="V86">
        <f t="shared" ca="1" si="5"/>
        <v>5.5563992069465579E-2</v>
      </c>
    </row>
    <row r="87" spans="1:22" x14ac:dyDescent="0.3">
      <c r="A87" t="s">
        <v>115</v>
      </c>
      <c r="B87">
        <f ca="1">'Modello P-C SJF'!$D93</f>
        <v>0.21892699162343734</v>
      </c>
      <c r="C87">
        <f t="shared" ca="1" si="3"/>
        <v>0.58443746950155062</v>
      </c>
      <c r="F87">
        <f t="shared" ca="1" si="4"/>
        <v>0.55741933901228458</v>
      </c>
      <c r="V87">
        <f t="shared" ca="1" si="5"/>
        <v>0.68360062281884781</v>
      </c>
    </row>
    <row r="88" spans="1:22" x14ac:dyDescent="0.3">
      <c r="A88" t="s">
        <v>114</v>
      </c>
      <c r="B88">
        <f ca="1">'Modello P-C SJF'!$D94</f>
        <v>2.5281112307587335</v>
      </c>
      <c r="C88">
        <f t="shared" ca="1" si="3"/>
        <v>0.59201303374234882</v>
      </c>
      <c r="F88">
        <f t="shared" ca="1" si="4"/>
        <v>0.55321252760433526</v>
      </c>
      <c r="V88">
        <f t="shared" ca="1" si="5"/>
        <v>2.1974587602447744</v>
      </c>
    </row>
    <row r="89" spans="1:22" x14ac:dyDescent="0.3">
      <c r="A89" t="s">
        <v>113</v>
      </c>
      <c r="B89">
        <f ca="1">'Modello P-C SJF'!$D95</f>
        <v>0.24095409099424142</v>
      </c>
      <c r="C89">
        <f t="shared" ca="1" si="3"/>
        <v>0.5988211558562675</v>
      </c>
      <c r="F89">
        <f t="shared" ca="1" si="4"/>
        <v>0.5494589809616347</v>
      </c>
      <c r="V89">
        <f t="shared" ca="1" si="5"/>
        <v>0.64766174092443196</v>
      </c>
    </row>
    <row r="90" spans="1:22" x14ac:dyDescent="0.3">
      <c r="A90" t="s">
        <v>112</v>
      </c>
      <c r="B90">
        <f ca="1">'Modello P-C SJF'!$D96</f>
        <v>0.87543074012267041</v>
      </c>
      <c r="C90">
        <f t="shared" ca="1" si="3"/>
        <v>0.61431282058827419</v>
      </c>
      <c r="F90">
        <f t="shared" ca="1" si="4"/>
        <v>0.54101254028047174</v>
      </c>
      <c r="V90">
        <f t="shared" ca="1" si="5"/>
        <v>2.9001304066795637E-2</v>
      </c>
    </row>
    <row r="91" spans="1:22" x14ac:dyDescent="0.3">
      <c r="A91" t="s">
        <v>111</v>
      </c>
      <c r="B91">
        <f ca="1">'Modello P-C SJF'!$D97</f>
        <v>0.73019766653051776</v>
      </c>
      <c r="C91">
        <f t="shared" ca="1" si="3"/>
        <v>0.61785921110121966</v>
      </c>
      <c r="F91">
        <f t="shared" ca="1" si="4"/>
        <v>0.53909729664847605</v>
      </c>
      <c r="V91">
        <f t="shared" ca="1" si="5"/>
        <v>9.955966434323589E-2</v>
      </c>
    </row>
    <row r="92" spans="1:22" x14ac:dyDescent="0.3">
      <c r="A92" t="s">
        <v>110</v>
      </c>
      <c r="B92">
        <f ca="1">'Modello P-C SJF'!$D98</f>
        <v>3.7764641805111791E-2</v>
      </c>
      <c r="C92">
        <f t="shared" ca="1" si="3"/>
        <v>0.62312916119580497</v>
      </c>
      <c r="F92">
        <f t="shared" ca="1" si="4"/>
        <v>0.53626375367189971</v>
      </c>
      <c r="V92">
        <f t="shared" ca="1" si="5"/>
        <v>1.0159910035754565</v>
      </c>
    </row>
    <row r="93" spans="1:22" x14ac:dyDescent="0.3">
      <c r="A93" t="s">
        <v>109</v>
      </c>
      <c r="B93">
        <f ca="1">'Modello P-C SJF'!$D99</f>
        <v>9.558816314030022E-2</v>
      </c>
      <c r="C93">
        <f t="shared" ca="1" si="3"/>
        <v>0.63968445731044732</v>
      </c>
      <c r="F93">
        <f t="shared" ca="1" si="4"/>
        <v>0.52745883356598533</v>
      </c>
      <c r="V93">
        <f t="shared" ca="1" si="5"/>
        <v>0.90276653166955267</v>
      </c>
    </row>
    <row r="94" spans="1:22" x14ac:dyDescent="0.3">
      <c r="A94" t="s">
        <v>108</v>
      </c>
      <c r="B94">
        <f ca="1">'Modello P-C SJF'!$D100</f>
        <v>0.26375317600066484</v>
      </c>
      <c r="C94">
        <f t="shared" ca="1" si="3"/>
        <v>0.6440598247772209</v>
      </c>
      <c r="F94">
        <f t="shared" ca="1" si="4"/>
        <v>0.52515604878402489</v>
      </c>
      <c r="V94">
        <f t="shared" ca="1" si="5"/>
        <v>0.6114853019505514</v>
      </c>
    </row>
    <row r="95" spans="1:22" x14ac:dyDescent="0.3">
      <c r="A95" t="s">
        <v>107</v>
      </c>
      <c r="B95">
        <f ca="1">'Modello P-C SJF'!$D101</f>
        <v>2.274996597129439</v>
      </c>
      <c r="C95">
        <f t="shared" ca="1" si="3"/>
        <v>0.65752450077313007</v>
      </c>
      <c r="F95">
        <f t="shared" ca="1" si="4"/>
        <v>0.51813238453563704</v>
      </c>
      <c r="V95">
        <f t="shared" ca="1" si="5"/>
        <v>1.5111002202989221</v>
      </c>
    </row>
    <row r="96" spans="1:22" x14ac:dyDescent="0.3">
      <c r="A96" t="s">
        <v>106</v>
      </c>
      <c r="B96">
        <f ca="1">'Modello P-C SJF'!$D102</f>
        <v>0.6440598247772209</v>
      </c>
      <c r="C96">
        <f t="shared" ca="1" si="3"/>
        <v>0.66004373138093619</v>
      </c>
      <c r="F96">
        <f t="shared" ca="1" si="4"/>
        <v>0.51682873236331794</v>
      </c>
      <c r="V96">
        <f t="shared" ca="1" si="5"/>
        <v>0.16133767051899878</v>
      </c>
    </row>
    <row r="97" spans="1:22" x14ac:dyDescent="0.3">
      <c r="A97" t="s">
        <v>105</v>
      </c>
      <c r="B97">
        <f ca="1">'Modello P-C SJF'!$D103</f>
        <v>0.43588569258785037</v>
      </c>
      <c r="C97">
        <f t="shared" ca="1" si="3"/>
        <v>0.66270388392557045</v>
      </c>
      <c r="F97">
        <f t="shared" ca="1" si="4"/>
        <v>0.51545571612177488</v>
      </c>
      <c r="V97">
        <f t="shared" ca="1" si="5"/>
        <v>0.37190816755874939</v>
      </c>
    </row>
    <row r="98" spans="1:22" x14ac:dyDescent="0.3">
      <c r="A98" t="s">
        <v>104</v>
      </c>
      <c r="B98">
        <f ca="1">'Modello P-C SJF'!$D104</f>
        <v>8.6992566377734545E-2</v>
      </c>
      <c r="C98">
        <f t="shared" ca="1" si="3"/>
        <v>0.70060514959203246</v>
      </c>
      <c r="F98">
        <f t="shared" ca="1" si="4"/>
        <v>0.49628488630533829</v>
      </c>
      <c r="V98">
        <f t="shared" ca="1" si="5"/>
        <v>0.91917446120174562</v>
      </c>
    </row>
    <row r="99" spans="1:22" x14ac:dyDescent="0.3">
      <c r="A99" t="s">
        <v>103</v>
      </c>
      <c r="B99">
        <f ca="1">'Modello P-C SJF'!$D105</f>
        <v>0.35300906672441734</v>
      </c>
      <c r="C99">
        <f t="shared" ca="1" si="3"/>
        <v>0.70560327147532431</v>
      </c>
      <c r="F99">
        <f t="shared" ca="1" si="4"/>
        <v>0.49381058254156796</v>
      </c>
      <c r="V99">
        <f t="shared" ca="1" si="5"/>
        <v>0.47986011987408939</v>
      </c>
    </row>
    <row r="100" spans="1:22" x14ac:dyDescent="0.3">
      <c r="A100" t="s">
        <v>102</v>
      </c>
      <c r="B100">
        <f ca="1">'Modello P-C SJF'!$D106</f>
        <v>0.10219410328396998</v>
      </c>
      <c r="C100">
        <f t="shared" ca="1" si="3"/>
        <v>0.71149232148600272</v>
      </c>
      <c r="F100">
        <f t="shared" ca="1" si="4"/>
        <v>0.49091105344097297</v>
      </c>
      <c r="V100">
        <f t="shared" ca="1" si="5"/>
        <v>0.89025703061830908</v>
      </c>
    </row>
    <row r="101" spans="1:22" x14ac:dyDescent="0.3">
      <c r="A101" t="s">
        <v>101</v>
      </c>
      <c r="B101">
        <f ca="1">'Modello P-C SJF'!$D107</f>
        <v>0.25320598011704198</v>
      </c>
      <c r="C101">
        <f t="shared" ca="1" si="3"/>
        <v>0.71369685929287052</v>
      </c>
      <c r="F101">
        <f t="shared" ca="1" si="4"/>
        <v>0.48983001349838506</v>
      </c>
      <c r="V101">
        <f t="shared" ca="1" si="5"/>
        <v>0.62809183770678645</v>
      </c>
    </row>
    <row r="102" spans="1:22" x14ac:dyDescent="0.3">
      <c r="A102" t="s">
        <v>100</v>
      </c>
      <c r="B102">
        <f ca="1">'Modello P-C SJF'!$D108</f>
        <v>0.5988211558562675</v>
      </c>
      <c r="C102">
        <f t="shared" ca="1" si="3"/>
        <v>0.72035772379527307</v>
      </c>
      <c r="F102">
        <f t="shared" ca="1" si="4"/>
        <v>0.48657816423584455</v>
      </c>
      <c r="V102">
        <f t="shared" ca="1" si="5"/>
        <v>0.19972611401618928</v>
      </c>
    </row>
    <row r="103" spans="1:22" x14ac:dyDescent="0.3">
      <c r="A103" t="s">
        <v>99</v>
      </c>
      <c r="B103">
        <f ca="1">'Modello P-C SJF'!$D109</f>
        <v>0.10556357188521032</v>
      </c>
      <c r="C103">
        <f t="shared" ca="1" si="3"/>
        <v>0.72834016147238978</v>
      </c>
      <c r="F103">
        <f t="shared" ca="1" si="4"/>
        <v>0.48270954541124012</v>
      </c>
      <c r="V103">
        <f t="shared" ca="1" si="5"/>
        <v>0.88390996534324506</v>
      </c>
    </row>
    <row r="104" spans="1:22" x14ac:dyDescent="0.3">
      <c r="A104" t="s">
        <v>98</v>
      </c>
      <c r="B104">
        <f ca="1">'Modello P-C SJF'!$D110</f>
        <v>0.51748495951662621</v>
      </c>
      <c r="C104">
        <f t="shared" ca="1" si="3"/>
        <v>0.72840613293362289</v>
      </c>
      <c r="F104">
        <f t="shared" ca="1" si="4"/>
        <v>0.48267770140758748</v>
      </c>
      <c r="V104">
        <f t="shared" ca="1" si="5"/>
        <v>0.27904116686663882</v>
      </c>
    </row>
    <row r="105" spans="1:22" x14ac:dyDescent="0.3">
      <c r="A105" t="s">
        <v>97</v>
      </c>
      <c r="B105">
        <f ca="1">'Modello P-C SJF'!$D111</f>
        <v>3.9166579973311699</v>
      </c>
      <c r="C105">
        <f t="shared" ca="1" si="3"/>
        <v>0.7297231761350601</v>
      </c>
      <c r="F105">
        <f t="shared" ca="1" si="4"/>
        <v>0.48204241246578527</v>
      </c>
      <c r="V105">
        <f t="shared" ca="1" si="5"/>
        <v>8.2422365655852552</v>
      </c>
    </row>
    <row r="106" spans="1:22" x14ac:dyDescent="0.3">
      <c r="A106" t="s">
        <v>96</v>
      </c>
      <c r="B106">
        <f ca="1">'Modello P-C SJF'!$D112</f>
        <v>2.0588212860945001</v>
      </c>
      <c r="C106">
        <f t="shared" ca="1" si="3"/>
        <v>0.73019766653051776</v>
      </c>
      <c r="F106">
        <f t="shared" ca="1" si="4"/>
        <v>0.48181374222607354</v>
      </c>
      <c r="V106">
        <f t="shared" ca="1" si="5"/>
        <v>1.0263571297796621</v>
      </c>
    </row>
    <row r="107" spans="1:22" x14ac:dyDescent="0.3">
      <c r="A107" t="s">
        <v>95</v>
      </c>
      <c r="B107">
        <f ca="1">'Modello P-C SJF'!$D113</f>
        <v>0.85145855074748922</v>
      </c>
      <c r="C107">
        <f t="shared" ca="1" si="3"/>
        <v>0.73398006225489765</v>
      </c>
      <c r="F107">
        <f t="shared" ca="1" si="4"/>
        <v>0.47999477418459258</v>
      </c>
      <c r="V107">
        <f t="shared" ca="1" si="5"/>
        <v>3.7740786999200797E-2</v>
      </c>
    </row>
    <row r="108" spans="1:22" x14ac:dyDescent="0.3">
      <c r="A108" t="s">
        <v>94</v>
      </c>
      <c r="B108">
        <f ca="1">'Modello P-C SJF'!$D114</f>
        <v>0.27730378405561207</v>
      </c>
      <c r="C108">
        <f t="shared" ca="1" si="3"/>
        <v>0.75325763012294233</v>
      </c>
      <c r="F108">
        <f t="shared" ca="1" si="4"/>
        <v>0.4708302609235997</v>
      </c>
      <c r="V108">
        <f t="shared" ca="1" si="5"/>
        <v>0.5904764405072277</v>
      </c>
    </row>
    <row r="109" spans="1:22" x14ac:dyDescent="0.3">
      <c r="A109" t="s">
        <v>93</v>
      </c>
      <c r="B109">
        <f ca="1">'Modello P-C SJF'!$D115</f>
        <v>0.24063784085606291</v>
      </c>
      <c r="C109">
        <f t="shared" ca="1" si="3"/>
        <v>0.76047806012031249</v>
      </c>
      <c r="F109">
        <f t="shared" ca="1" si="4"/>
        <v>0.46744290777362019</v>
      </c>
      <c r="V109">
        <f t="shared" ca="1" si="5"/>
        <v>0.64817086093205944</v>
      </c>
    </row>
    <row r="110" spans="1:22" x14ac:dyDescent="0.3">
      <c r="A110" t="s">
        <v>92</v>
      </c>
      <c r="B110">
        <f ca="1">'Modello P-C SJF'!$D116</f>
        <v>3.8169170648023876</v>
      </c>
      <c r="C110">
        <f t="shared" ca="1" si="3"/>
        <v>0.76594698475653722</v>
      </c>
      <c r="F110">
        <f t="shared" ca="1" si="4"/>
        <v>0.46489347542024495</v>
      </c>
      <c r="V110">
        <f t="shared" ca="1" si="5"/>
        <v>7.6794864351876528</v>
      </c>
    </row>
    <row r="111" spans="1:22" x14ac:dyDescent="0.3">
      <c r="A111" t="s">
        <v>91</v>
      </c>
      <c r="B111">
        <f ca="1">'Modello P-C SJF'!$D117</f>
        <v>0.51667064654597727</v>
      </c>
      <c r="C111">
        <f t="shared" ca="1" si="3"/>
        <v>0.77702191653927233</v>
      </c>
      <c r="F111">
        <f t="shared" ca="1" si="4"/>
        <v>0.45977321748236455</v>
      </c>
      <c r="V111">
        <f t="shared" ca="1" si="5"/>
        <v>0.27990214099585548</v>
      </c>
    </row>
    <row r="112" spans="1:22" x14ac:dyDescent="0.3">
      <c r="A112" t="s">
        <v>90</v>
      </c>
      <c r="B112">
        <f ca="1">'Modello P-C SJF'!$D118</f>
        <v>0.90225274827326241</v>
      </c>
      <c r="C112">
        <f t="shared" ca="1" si="3"/>
        <v>0.7817325218776574</v>
      </c>
      <c r="F112">
        <f t="shared" ca="1" si="4"/>
        <v>0.45761250044773361</v>
      </c>
      <c r="V112">
        <f t="shared" ca="1" si="5"/>
        <v>2.0585271996136599E-2</v>
      </c>
    </row>
    <row r="113" spans="1:22" x14ac:dyDescent="0.3">
      <c r="A113" t="s">
        <v>89</v>
      </c>
      <c r="B113">
        <f ca="1">'Modello P-C SJF'!$D119</f>
        <v>1.3763537260197494</v>
      </c>
      <c r="C113">
        <f t="shared" ca="1" si="3"/>
        <v>0.80167553379484824</v>
      </c>
      <c r="F113">
        <f t="shared" ca="1" si="4"/>
        <v>0.4485767286268183</v>
      </c>
      <c r="V113">
        <f t="shared" ca="1" si="5"/>
        <v>0.10931308464172651</v>
      </c>
    </row>
    <row r="114" spans="1:22" x14ac:dyDescent="0.3">
      <c r="A114" t="s">
        <v>88</v>
      </c>
      <c r="B114">
        <f ca="1">'Modello P-C SJF'!$D120</f>
        <v>0.20037401019527495</v>
      </c>
      <c r="C114">
        <f t="shared" ca="1" si="3"/>
        <v>0.80490276846550379</v>
      </c>
      <c r="F114">
        <f t="shared" ca="1" si="4"/>
        <v>0.44713139971795723</v>
      </c>
      <c r="V114">
        <f t="shared" ca="1" si="5"/>
        <v>0.71462409949755601</v>
      </c>
    </row>
    <row r="115" spans="1:22" x14ac:dyDescent="0.3">
      <c r="A115" t="s">
        <v>87</v>
      </c>
      <c r="B115">
        <f ca="1">'Modello P-C SJF'!$D121</f>
        <v>7.9741216213209815E-2</v>
      </c>
      <c r="C115">
        <f t="shared" ca="1" si="3"/>
        <v>0.83344459396899206</v>
      </c>
      <c r="F115">
        <f t="shared" ca="1" si="4"/>
        <v>0.43454985752397401</v>
      </c>
      <c r="V115">
        <f t="shared" ca="1" si="5"/>
        <v>0.9331313022436446</v>
      </c>
    </row>
    <row r="116" spans="1:22" x14ac:dyDescent="0.3">
      <c r="A116" t="s">
        <v>86</v>
      </c>
      <c r="B116">
        <f ca="1">'Modello P-C SJF'!$D122</f>
        <v>0.71369685929287052</v>
      </c>
      <c r="C116">
        <f t="shared" ca="1" si="3"/>
        <v>0.85145855074748922</v>
      </c>
      <c r="F116">
        <f t="shared" ca="1" si="4"/>
        <v>0.42679197999420171</v>
      </c>
      <c r="V116">
        <f t="shared" ca="1" si="5"/>
        <v>0.11024496568000705</v>
      </c>
    </row>
    <row r="117" spans="1:22" x14ac:dyDescent="0.3">
      <c r="A117" t="s">
        <v>85</v>
      </c>
      <c r="B117">
        <f ca="1">'Modello P-C SJF'!$D123</f>
        <v>8.7744523731098562E-2</v>
      </c>
      <c r="C117">
        <f t="shared" ca="1" si="3"/>
        <v>0.87543074012267041</v>
      </c>
      <c r="F117">
        <f t="shared" ca="1" si="4"/>
        <v>0.41668249914713895</v>
      </c>
      <c r="V117">
        <f t="shared" ca="1" si="5"/>
        <v>0.9177331696725114</v>
      </c>
    </row>
    <row r="118" spans="1:22" x14ac:dyDescent="0.3">
      <c r="A118" t="s">
        <v>84</v>
      </c>
      <c r="B118">
        <f ca="1">'Modello P-C SJF'!$D124</f>
        <v>0.17670851999109558</v>
      </c>
      <c r="C118">
        <f t="shared" ca="1" si="3"/>
        <v>0.87887959886578071</v>
      </c>
      <c r="F118">
        <f t="shared" ca="1" si="4"/>
        <v>0.41524789536176443</v>
      </c>
      <c r="V118">
        <f t="shared" ca="1" si="5"/>
        <v>0.75519560852963052</v>
      </c>
    </row>
    <row r="119" spans="1:22" x14ac:dyDescent="0.3">
      <c r="A119" t="s">
        <v>83</v>
      </c>
      <c r="B119">
        <f ca="1">'Modello P-C SJF'!$D125</f>
        <v>1.1260818639445278</v>
      </c>
      <c r="C119">
        <f t="shared" ca="1" si="3"/>
        <v>0.89374995548267366</v>
      </c>
      <c r="F119">
        <f t="shared" ca="1" si="4"/>
        <v>0.4091186957097579</v>
      </c>
      <c r="V119">
        <f t="shared" ca="1" si="5"/>
        <v>6.4566739270974626E-3</v>
      </c>
    </row>
    <row r="120" spans="1:22" x14ac:dyDescent="0.3">
      <c r="A120" t="s">
        <v>82</v>
      </c>
      <c r="B120">
        <f ca="1">'Modello P-C SJF'!$D126</f>
        <v>2.2623422175130563</v>
      </c>
      <c r="C120">
        <f t="shared" ca="1" si="3"/>
        <v>0.90225274827326241</v>
      </c>
      <c r="F120">
        <f t="shared" ca="1" si="4"/>
        <v>0.40565479151247164</v>
      </c>
      <c r="V120">
        <f t="shared" ca="1" si="5"/>
        <v>1.4801491016140929</v>
      </c>
    </row>
    <row r="121" spans="1:22" x14ac:dyDescent="0.3">
      <c r="A121" t="s">
        <v>81</v>
      </c>
      <c r="B121">
        <f ca="1">'Modello P-C SJF'!$D127</f>
        <v>8.8353272608942643E-2</v>
      </c>
      <c r="C121">
        <f t="shared" ca="1" si="3"/>
        <v>0.90469311885429449</v>
      </c>
      <c r="F121">
        <f t="shared" ca="1" si="4"/>
        <v>0.40466605043122972</v>
      </c>
      <c r="V121">
        <f t="shared" ca="1" si="5"/>
        <v>0.91656719698866118</v>
      </c>
    </row>
    <row r="122" spans="1:22" x14ac:dyDescent="0.3">
      <c r="A122" t="s">
        <v>80</v>
      </c>
      <c r="B122">
        <f ca="1">'Modello P-C SJF'!$D128</f>
        <v>0.61785921110121966</v>
      </c>
      <c r="C122">
        <f t="shared" ca="1" si="3"/>
        <v>0.91410828850898462</v>
      </c>
      <c r="F122">
        <f t="shared" ca="1" si="4"/>
        <v>0.40087393065126198</v>
      </c>
      <c r="V122">
        <f t="shared" ca="1" si="5"/>
        <v>0.18307207071524972</v>
      </c>
    </row>
    <row r="123" spans="1:22" x14ac:dyDescent="0.3">
      <c r="A123" t="s">
        <v>79</v>
      </c>
      <c r="B123">
        <f ca="1">'Modello P-C SJF'!$D129</f>
        <v>0.17313008722332385</v>
      </c>
      <c r="C123">
        <f t="shared" ca="1" si="3"/>
        <v>0.9165582850391244</v>
      </c>
      <c r="F123">
        <f t="shared" ca="1" si="4"/>
        <v>0.39989299304967474</v>
      </c>
      <c r="V123">
        <f t="shared" ca="1" si="5"/>
        <v>0.76142787237303322</v>
      </c>
    </row>
    <row r="124" spans="1:22" x14ac:dyDescent="0.3">
      <c r="A124" t="s">
        <v>78</v>
      </c>
      <c r="B124">
        <f ca="1">'Modello P-C SJF'!$D130</f>
        <v>1.4578432614953794</v>
      </c>
      <c r="C124">
        <f t="shared" ca="1" si="3"/>
        <v>0.92939317824332379</v>
      </c>
      <c r="F124">
        <f t="shared" ca="1" si="4"/>
        <v>0.39479320680570618</v>
      </c>
      <c r="V124">
        <f t="shared" ca="1" si="5"/>
        <v>0.16983863218653203</v>
      </c>
    </row>
    <row r="125" spans="1:22" x14ac:dyDescent="0.3">
      <c r="A125" t="s">
        <v>77</v>
      </c>
      <c r="B125">
        <f ca="1">'Modello P-C SJF'!$D131</f>
        <v>1.127388653167537</v>
      </c>
      <c r="C125">
        <f t="shared" ca="1" si="3"/>
        <v>0.94065012984737861</v>
      </c>
      <c r="F125">
        <f t="shared" ca="1" si="4"/>
        <v>0.39037395907875327</v>
      </c>
      <c r="V125">
        <f t="shared" ca="1" si="5"/>
        <v>6.6683916213681775E-3</v>
      </c>
    </row>
    <row r="126" spans="1:22" x14ac:dyDescent="0.3">
      <c r="A126" t="s">
        <v>76</v>
      </c>
      <c r="B126">
        <f ca="1">'Modello P-C SJF'!$D132</f>
        <v>0.76047806012031249</v>
      </c>
      <c r="C126">
        <f t="shared" ca="1" si="3"/>
        <v>0.94289754726593289</v>
      </c>
      <c r="F126">
        <f t="shared" ca="1" si="4"/>
        <v>0.38949761097223046</v>
      </c>
      <c r="V126">
        <f t="shared" ca="1" si="5"/>
        <v>8.1367775005985465E-2</v>
      </c>
    </row>
    <row r="127" spans="1:22" x14ac:dyDescent="0.3">
      <c r="A127" t="s">
        <v>75</v>
      </c>
      <c r="B127">
        <f ca="1">'Modello P-C SJF'!$D133</f>
        <v>2.2137943349905598</v>
      </c>
      <c r="C127">
        <f t="shared" ca="1" si="3"/>
        <v>0.95648968088196462</v>
      </c>
      <c r="F127">
        <f t="shared" ca="1" si="4"/>
        <v>0.38423932402391681</v>
      </c>
      <c r="V127">
        <f t="shared" ca="1" si="5"/>
        <v>1.3643779523021458</v>
      </c>
    </row>
    <row r="128" spans="1:22" x14ac:dyDescent="0.3">
      <c r="A128" t="s">
        <v>74</v>
      </c>
      <c r="B128">
        <f ca="1">'Modello P-C SJF'!$D134</f>
        <v>0.26082957352582248</v>
      </c>
      <c r="C128">
        <f t="shared" ca="1" si="3"/>
        <v>1.011265406403757</v>
      </c>
      <c r="F128">
        <f t="shared" ca="1" si="4"/>
        <v>0.36375838602287724</v>
      </c>
      <c r="V128">
        <f t="shared" ca="1" si="5"/>
        <v>0.61606621899296432</v>
      </c>
    </row>
    <row r="129" spans="1:22" x14ac:dyDescent="0.3">
      <c r="A129" t="s">
        <v>73</v>
      </c>
      <c r="B129">
        <f ca="1">'Modello P-C SJF'!$D135</f>
        <v>1.0359644147599509</v>
      </c>
      <c r="C129">
        <f t="shared" ca="1" si="3"/>
        <v>1.0213291025228057</v>
      </c>
      <c r="F129">
        <f t="shared" ca="1" si="4"/>
        <v>0.36011599088524254</v>
      </c>
      <c r="V129">
        <f t="shared" ca="1" si="5"/>
        <v>9.5336044592506916E-5</v>
      </c>
    </row>
    <row r="130" spans="1:22" x14ac:dyDescent="0.3">
      <c r="A130" t="s">
        <v>72</v>
      </c>
      <c r="B130">
        <f ca="1">'Modello P-C SJF'!$D136</f>
        <v>2.5858800571522993</v>
      </c>
      <c r="C130">
        <f t="shared" ca="1" si="3"/>
        <v>1.0279736943430557</v>
      </c>
      <c r="F130">
        <f t="shared" ca="1" si="4"/>
        <v>0.35773109920825658</v>
      </c>
      <c r="V130">
        <f t="shared" ca="1" si="5"/>
        <v>2.372067026577692</v>
      </c>
    </row>
    <row r="131" spans="1:22" x14ac:dyDescent="0.3">
      <c r="A131" t="s">
        <v>71</v>
      </c>
      <c r="B131">
        <f ca="1">'Modello P-C SJF'!$D137</f>
        <v>0.72834016147238978</v>
      </c>
      <c r="C131">
        <f t="shared" ref="C131:C194" ca="1" si="6">SMALL($B$3:$B$202, ROW(A129))</f>
        <v>1.0359644147599509</v>
      </c>
      <c r="F131">
        <f t="shared" ref="F131:F194" ca="1" si="7">$E$2*EXP(-$E$2*$C131)</f>
        <v>0.35488396050425774</v>
      </c>
      <c r="V131">
        <f t="shared" ref="V131:V194" ca="1" si="8">($B131-$E$3)^2</f>
        <v>0.10073531465625526</v>
      </c>
    </row>
    <row r="132" spans="1:22" x14ac:dyDescent="0.3">
      <c r="A132" t="s">
        <v>70</v>
      </c>
      <c r="B132">
        <f ca="1">'Modello P-C SJF'!$D138</f>
        <v>0.94289754726593289</v>
      </c>
      <c r="C132">
        <f t="shared" ca="1" si="6"/>
        <v>1.0589560413089414</v>
      </c>
      <c r="F132">
        <f t="shared" ca="1" si="7"/>
        <v>0.34681768474242247</v>
      </c>
      <c r="V132">
        <f t="shared" ca="1" si="8"/>
        <v>1.0574190980817712E-2</v>
      </c>
    </row>
    <row r="133" spans="1:22" x14ac:dyDescent="0.3">
      <c r="A133" t="s">
        <v>69</v>
      </c>
      <c r="B133">
        <f ca="1">'Modello P-C SJF'!$D139</f>
        <v>3.2399440915617466</v>
      </c>
      <c r="C133">
        <f t="shared" ca="1" si="6"/>
        <v>1.1077789376329787</v>
      </c>
      <c r="F133">
        <f t="shared" ca="1" si="7"/>
        <v>0.33029174556012642</v>
      </c>
      <c r="V133">
        <f t="shared" ca="1" si="8"/>
        <v>4.8145823579853548</v>
      </c>
    </row>
    <row r="134" spans="1:22" x14ac:dyDescent="0.3">
      <c r="A134" t="s">
        <v>68</v>
      </c>
      <c r="B134">
        <f ca="1">'Modello P-C SJF'!$D140</f>
        <v>0.50056173265441217</v>
      </c>
      <c r="C134">
        <f t="shared" ca="1" si="6"/>
        <v>1.1260818639445278</v>
      </c>
      <c r="F134">
        <f t="shared" ca="1" si="7"/>
        <v>0.32430142748234414</v>
      </c>
      <c r="V134">
        <f t="shared" ca="1" si="8"/>
        <v>0.29720673074138332</v>
      </c>
    </row>
    <row r="135" spans="1:22" x14ac:dyDescent="0.3">
      <c r="A135" t="s">
        <v>67</v>
      </c>
      <c r="B135">
        <f ca="1">'Modello P-C SJF'!$D141</f>
        <v>1.3111294299929785</v>
      </c>
      <c r="C135">
        <f t="shared" ca="1" si="6"/>
        <v>1.1262766280170775</v>
      </c>
      <c r="F135">
        <f t="shared" ca="1" si="7"/>
        <v>0.32423827136606487</v>
      </c>
      <c r="V135">
        <f t="shared" ca="1" si="8"/>
        <v>7.0437689411433191E-2</v>
      </c>
    </row>
    <row r="136" spans="1:22" x14ac:dyDescent="0.3">
      <c r="A136" t="s">
        <v>66</v>
      </c>
      <c r="B136">
        <f ca="1">'Modello P-C SJF'!$D142</f>
        <v>1.2901565485317157</v>
      </c>
      <c r="C136">
        <f t="shared" ca="1" si="6"/>
        <v>1.126746976298868</v>
      </c>
      <c r="F136">
        <f t="shared" ca="1" si="7"/>
        <v>0.32408580231182682</v>
      </c>
      <c r="V136">
        <f t="shared" ca="1" si="8"/>
        <v>5.9745103852628378E-2</v>
      </c>
    </row>
    <row r="137" spans="1:22" x14ac:dyDescent="0.3">
      <c r="A137" t="s">
        <v>65</v>
      </c>
      <c r="B137">
        <f ca="1">'Modello P-C SJF'!$D143</f>
        <v>0.2899853092330596</v>
      </c>
      <c r="C137">
        <f t="shared" ca="1" si="6"/>
        <v>1.127388653167537</v>
      </c>
      <c r="F137">
        <f t="shared" ca="1" si="7"/>
        <v>0.32387791065578597</v>
      </c>
      <c r="V137">
        <f t="shared" ca="1" si="8"/>
        <v>0.57114766853280519</v>
      </c>
    </row>
    <row r="138" spans="1:22" x14ac:dyDescent="0.3">
      <c r="A138" t="s">
        <v>64</v>
      </c>
      <c r="B138">
        <f ca="1">'Modello P-C SJF'!$D144</f>
        <v>0.399950257945141</v>
      </c>
      <c r="C138">
        <f t="shared" ca="1" si="6"/>
        <v>1.1622679649199559</v>
      </c>
      <c r="F138">
        <f t="shared" ca="1" si="7"/>
        <v>0.31277601084624379</v>
      </c>
      <c r="V138">
        <f t="shared" ca="1" si="8"/>
        <v>0.41702945087456372</v>
      </c>
    </row>
    <row r="139" spans="1:22" x14ac:dyDescent="0.3">
      <c r="A139" t="s">
        <v>63</v>
      </c>
      <c r="B139">
        <f ca="1">'Modello P-C SJF'!$D145</f>
        <v>0.94065012984737861</v>
      </c>
      <c r="C139">
        <f t="shared" ca="1" si="6"/>
        <v>1.1649143220038309</v>
      </c>
      <c r="F139">
        <f t="shared" ca="1" si="7"/>
        <v>0.31194938808619044</v>
      </c>
      <c r="V139">
        <f t="shared" ca="1" si="8"/>
        <v>1.1041449711649944E-2</v>
      </c>
    </row>
    <row r="140" spans="1:22" x14ac:dyDescent="0.3">
      <c r="A140" t="s">
        <v>62</v>
      </c>
      <c r="B140">
        <f ca="1">'Modello P-C SJF'!$D146</f>
        <v>1.1262766280170775</v>
      </c>
      <c r="C140">
        <f t="shared" ca="1" si="6"/>
        <v>1.175957705009933</v>
      </c>
      <c r="F140">
        <f t="shared" ca="1" si="7"/>
        <v>0.30852336378302175</v>
      </c>
      <c r="V140">
        <f t="shared" ca="1" si="8"/>
        <v>6.4880117832012019E-3</v>
      </c>
    </row>
    <row r="141" spans="1:22" x14ac:dyDescent="0.3">
      <c r="A141" t="s">
        <v>61</v>
      </c>
      <c r="B141">
        <f ca="1">'Modello P-C SJF'!$D147</f>
        <v>8.9032487139011601E-2</v>
      </c>
      <c r="C141">
        <f t="shared" ca="1" si="6"/>
        <v>1.2157931112469933</v>
      </c>
      <c r="F141">
        <f t="shared" ca="1" si="7"/>
        <v>0.29647478353902235</v>
      </c>
      <c r="V141">
        <f t="shared" ca="1" si="8"/>
        <v>0.91526713208223831</v>
      </c>
    </row>
    <row r="142" spans="1:22" x14ac:dyDescent="0.3">
      <c r="A142" t="s">
        <v>60</v>
      </c>
      <c r="B142">
        <f ca="1">'Modello P-C SJF'!$D148</f>
        <v>0.2023840319719995</v>
      </c>
      <c r="C142">
        <f t="shared" ca="1" si="6"/>
        <v>1.2241964637705145</v>
      </c>
      <c r="F142">
        <f t="shared" ca="1" si="7"/>
        <v>0.29399384013917595</v>
      </c>
      <c r="V142">
        <f t="shared" ca="1" si="8"/>
        <v>0.71122977808888743</v>
      </c>
    </row>
    <row r="143" spans="1:22" x14ac:dyDescent="0.3">
      <c r="A143" t="s">
        <v>59</v>
      </c>
      <c r="B143">
        <f ca="1">'Modello P-C SJF'!$D149</f>
        <v>0.40879634005487719</v>
      </c>
      <c r="C143">
        <f t="shared" ca="1" si="6"/>
        <v>1.2343182826405044</v>
      </c>
      <c r="F143">
        <f t="shared" ca="1" si="7"/>
        <v>0.29103309707052633</v>
      </c>
      <c r="V143">
        <f t="shared" ca="1" si="8"/>
        <v>0.40568249052771932</v>
      </c>
    </row>
    <row r="144" spans="1:22" x14ac:dyDescent="0.3">
      <c r="A144" t="s">
        <v>58</v>
      </c>
      <c r="B144">
        <f ca="1">'Modello P-C SJF'!$D150</f>
        <v>2.3935201502071242</v>
      </c>
      <c r="C144">
        <f t="shared" ca="1" si="6"/>
        <v>1.2605645910279308</v>
      </c>
      <c r="F144">
        <f t="shared" ca="1" si="7"/>
        <v>0.28349392318207345</v>
      </c>
      <c r="V144">
        <f t="shared" ca="1" si="8"/>
        <v>1.8165425140211382</v>
      </c>
    </row>
    <row r="145" spans="1:22" x14ac:dyDescent="0.3">
      <c r="A145" t="s">
        <v>57</v>
      </c>
      <c r="B145">
        <f ca="1">'Modello P-C SJF'!$D151</f>
        <v>0.28968972046894992</v>
      </c>
      <c r="C145">
        <f t="shared" ca="1" si="6"/>
        <v>1.2629767812131345</v>
      </c>
      <c r="F145">
        <f t="shared" ca="1" si="7"/>
        <v>0.28281090603782166</v>
      </c>
      <c r="V145">
        <f t="shared" ca="1" si="8"/>
        <v>0.57159453425716977</v>
      </c>
    </row>
    <row r="146" spans="1:22" x14ac:dyDescent="0.3">
      <c r="A146" t="s">
        <v>56</v>
      </c>
      <c r="B146">
        <f ca="1">'Modello P-C SJF'!$D152</f>
        <v>0.47185397097008502</v>
      </c>
      <c r="C146">
        <f t="shared" ca="1" si="6"/>
        <v>1.2814485888755647</v>
      </c>
      <c r="F146">
        <f t="shared" ca="1" si="7"/>
        <v>0.2776348302900451</v>
      </c>
      <c r="V146">
        <f t="shared" ca="1" si="8"/>
        <v>0.32933189772346788</v>
      </c>
    </row>
    <row r="147" spans="1:22" x14ac:dyDescent="0.3">
      <c r="A147" t="s">
        <v>55</v>
      </c>
      <c r="B147">
        <f ca="1">'Modello P-C SJF'!$D153</f>
        <v>5.8776306547970052E-2</v>
      </c>
      <c r="C147">
        <f t="shared" ca="1" si="6"/>
        <v>1.2832330964914633</v>
      </c>
      <c r="F147">
        <f t="shared" ca="1" si="7"/>
        <v>0.27713983061765557</v>
      </c>
      <c r="V147">
        <f t="shared" ca="1" si="8"/>
        <v>0.97407449914002187</v>
      </c>
    </row>
    <row r="148" spans="1:22" x14ac:dyDescent="0.3">
      <c r="A148" t="s">
        <v>54</v>
      </c>
      <c r="B148">
        <f ca="1">'Modello P-C SJF'!$D154</f>
        <v>1.1622679649199559</v>
      </c>
      <c r="C148">
        <f t="shared" ca="1" si="6"/>
        <v>1.2901565485317157</v>
      </c>
      <c r="F148">
        <f t="shared" ca="1" si="7"/>
        <v>0.27522769322575086</v>
      </c>
      <c r="V148">
        <f t="shared" ca="1" si="8"/>
        <v>1.3581462590827145E-2</v>
      </c>
    </row>
    <row r="149" spans="1:22" x14ac:dyDescent="0.3">
      <c r="A149" t="s">
        <v>53</v>
      </c>
      <c r="B149">
        <f ca="1">'Modello P-C SJF'!$D155</f>
        <v>1.855831068021025</v>
      </c>
      <c r="C149">
        <f t="shared" ca="1" si="6"/>
        <v>1.3111294299929785</v>
      </c>
      <c r="F149">
        <f t="shared" ca="1" si="7"/>
        <v>0.26951548554839377</v>
      </c>
      <c r="V149">
        <f t="shared" ca="1" si="8"/>
        <v>0.65626627989852504</v>
      </c>
    </row>
    <row r="150" spans="1:22" x14ac:dyDescent="0.3">
      <c r="A150" t="s">
        <v>52</v>
      </c>
      <c r="B150">
        <f ca="1">'Modello P-C SJF'!$D156</f>
        <v>1.126746976298868</v>
      </c>
      <c r="C150">
        <f t="shared" ca="1" si="6"/>
        <v>1.3377016743093204</v>
      </c>
      <c r="F150">
        <f t="shared" ca="1" si="7"/>
        <v>0.26244816731135845</v>
      </c>
      <c r="V150">
        <f t="shared" ca="1" si="8"/>
        <v>6.5640044213286803E-3</v>
      </c>
    </row>
    <row r="151" spans="1:22" x14ac:dyDescent="0.3">
      <c r="A151" t="s">
        <v>51</v>
      </c>
      <c r="B151">
        <f ca="1">'Modello P-C SJF'!$D157</f>
        <v>3.8262254061781671</v>
      </c>
      <c r="C151">
        <f t="shared" ca="1" si="6"/>
        <v>1.3763537260197494</v>
      </c>
      <c r="F151">
        <f t="shared" ca="1" si="7"/>
        <v>0.25249755183422917</v>
      </c>
      <c r="V151">
        <f t="shared" ca="1" si="8"/>
        <v>7.731163420017058</v>
      </c>
    </row>
    <row r="152" spans="1:22" x14ac:dyDescent="0.3">
      <c r="A152" t="s">
        <v>50</v>
      </c>
      <c r="B152">
        <f ca="1">'Modello P-C SJF'!$D158</f>
        <v>0.14133687333971268</v>
      </c>
      <c r="C152">
        <f t="shared" ca="1" si="6"/>
        <v>1.4202649578856954</v>
      </c>
      <c r="F152">
        <f t="shared" ca="1" si="7"/>
        <v>0.2416499813459132</v>
      </c>
      <c r="V152">
        <f t="shared" ca="1" si="8"/>
        <v>0.81792409248086351</v>
      </c>
    </row>
    <row r="153" spans="1:22" x14ac:dyDescent="0.3">
      <c r="A153" t="s">
        <v>49</v>
      </c>
      <c r="B153">
        <f ca="1">'Modello P-C SJF'!$D159</f>
        <v>0.37469804907454574</v>
      </c>
      <c r="C153">
        <f t="shared" ca="1" si="6"/>
        <v>1.442930381999755</v>
      </c>
      <c r="F153">
        <f t="shared" ca="1" si="7"/>
        <v>0.23623448611566444</v>
      </c>
      <c r="V153">
        <f t="shared" ca="1" si="8"/>
        <v>0.45028177562886801</v>
      </c>
    </row>
    <row r="154" spans="1:22" x14ac:dyDescent="0.3">
      <c r="A154" t="s">
        <v>48</v>
      </c>
      <c r="B154">
        <f ca="1">'Modello P-C SJF'!$D160</f>
        <v>0.31976010030850505</v>
      </c>
      <c r="C154">
        <f t="shared" ca="1" si="6"/>
        <v>1.4552289926474684</v>
      </c>
      <c r="F154">
        <f t="shared" ca="1" si="7"/>
        <v>0.23334692305291571</v>
      </c>
      <c r="V154">
        <f t="shared" ca="1" si="8"/>
        <v>0.52703001950583528</v>
      </c>
    </row>
    <row r="155" spans="1:22" x14ac:dyDescent="0.3">
      <c r="A155" t="s">
        <v>47</v>
      </c>
      <c r="B155">
        <f ca="1">'Modello P-C SJF'!$D161</f>
        <v>1.5871599011545325</v>
      </c>
      <c r="C155">
        <f t="shared" ca="1" si="6"/>
        <v>1.4578432614953794</v>
      </c>
      <c r="F155">
        <f t="shared" ca="1" si="7"/>
        <v>0.2327376881601029</v>
      </c>
      <c r="V155">
        <f t="shared" ca="1" si="8"/>
        <v>0.29314803512937804</v>
      </c>
    </row>
    <row r="156" spans="1:22" x14ac:dyDescent="0.3">
      <c r="A156" t="s">
        <v>46</v>
      </c>
      <c r="B156">
        <f ca="1">'Modello P-C SJF'!$D162</f>
        <v>0.41120370987237548</v>
      </c>
      <c r="C156">
        <f t="shared" ca="1" si="6"/>
        <v>1.5520756349051883</v>
      </c>
      <c r="F156">
        <f t="shared" ca="1" si="7"/>
        <v>0.21180788141729875</v>
      </c>
      <c r="V156">
        <f t="shared" ca="1" si="8"/>
        <v>0.40262162376632693</v>
      </c>
    </row>
    <row r="157" spans="1:22" x14ac:dyDescent="0.3">
      <c r="A157" t="s">
        <v>45</v>
      </c>
      <c r="B157">
        <f ca="1">'Modello P-C SJF'!$D163</f>
        <v>0.63968445731044732</v>
      </c>
      <c r="C157">
        <f t="shared" ca="1" si="6"/>
        <v>1.5564070688384215</v>
      </c>
      <c r="F157">
        <f t="shared" ca="1" si="7"/>
        <v>0.21089243360451218</v>
      </c>
      <c r="V157">
        <f t="shared" ca="1" si="8"/>
        <v>0.16487170987774702</v>
      </c>
    </row>
    <row r="158" spans="1:22" x14ac:dyDescent="0.3">
      <c r="A158" t="s">
        <v>44</v>
      </c>
      <c r="B158">
        <f ca="1">'Modello P-C SJF'!$D164</f>
        <v>1.011265406403757</v>
      </c>
      <c r="C158">
        <f t="shared" ca="1" si="6"/>
        <v>1.5813912778050025</v>
      </c>
      <c r="F158">
        <f t="shared" ca="1" si="7"/>
        <v>0.20568872887820458</v>
      </c>
      <c r="V158">
        <f t="shared" ca="1" si="8"/>
        <v>1.1877001753501871E-3</v>
      </c>
    </row>
    <row r="159" spans="1:22" x14ac:dyDescent="0.3">
      <c r="A159" t="s">
        <v>43</v>
      </c>
      <c r="B159">
        <f ca="1">'Modello P-C SJF'!$D165</f>
        <v>0.35122823983295082</v>
      </c>
      <c r="C159">
        <f t="shared" ca="1" si="6"/>
        <v>1.5871599011545325</v>
      </c>
      <c r="F159">
        <f t="shared" ca="1" si="7"/>
        <v>0.20450560385628003</v>
      </c>
      <c r="V159">
        <f t="shared" ca="1" si="8"/>
        <v>0.48233051776852714</v>
      </c>
    </row>
    <row r="160" spans="1:22" x14ac:dyDescent="0.3">
      <c r="A160" t="s">
        <v>42</v>
      </c>
      <c r="B160">
        <f ca="1">'Modello P-C SJF'!$D166</f>
        <v>0.62312916119580497</v>
      </c>
      <c r="C160">
        <f t="shared" ca="1" si="6"/>
        <v>1.5986125754324565</v>
      </c>
      <c r="F160">
        <f t="shared" ca="1" si="7"/>
        <v>0.20217682859376329</v>
      </c>
      <c r="V160">
        <f t="shared" ca="1" si="8"/>
        <v>0.17859014420051961</v>
      </c>
    </row>
    <row r="161" spans="1:22" x14ac:dyDescent="0.3">
      <c r="A161" t="s">
        <v>41</v>
      </c>
      <c r="B161">
        <f ca="1">'Modello P-C SJF'!$D167</f>
        <v>2.2951263452680344</v>
      </c>
      <c r="C161">
        <f t="shared" ca="1" si="6"/>
        <v>1.7180638940260422</v>
      </c>
      <c r="F161">
        <f t="shared" ca="1" si="7"/>
        <v>0.17941317478219432</v>
      </c>
      <c r="V161">
        <f t="shared" ca="1" si="8"/>
        <v>1.560995144152151</v>
      </c>
    </row>
    <row r="162" spans="1:22" x14ac:dyDescent="0.3">
      <c r="A162" t="s">
        <v>40</v>
      </c>
      <c r="B162">
        <f ca="1">'Modello P-C SJF'!$D168</f>
        <v>0.80490276846550379</v>
      </c>
      <c r="C162">
        <f t="shared" ca="1" si="6"/>
        <v>1.7486511867757544</v>
      </c>
      <c r="F162">
        <f t="shared" ca="1" si="7"/>
        <v>0.17400849018771167</v>
      </c>
      <c r="V162">
        <f t="shared" ca="1" si="8"/>
        <v>5.799700051104293E-2</v>
      </c>
    </row>
    <row r="163" spans="1:22" x14ac:dyDescent="0.3">
      <c r="A163" t="s">
        <v>39</v>
      </c>
      <c r="B163">
        <f ca="1">'Modello P-C SJF'!$D169</f>
        <v>4.9166832772262978</v>
      </c>
      <c r="C163">
        <f t="shared" ca="1" si="6"/>
        <v>1.7520521740613202</v>
      </c>
      <c r="F163">
        <f t="shared" ca="1" si="7"/>
        <v>0.17341769473837196</v>
      </c>
      <c r="V163">
        <f t="shared" ca="1" si="8"/>
        <v>14.984291409051872</v>
      </c>
    </row>
    <row r="164" spans="1:22" x14ac:dyDescent="0.3">
      <c r="A164" t="s">
        <v>38</v>
      </c>
      <c r="B164">
        <f ca="1">'Modello P-C SJF'!$D170</f>
        <v>0.46242019273676777</v>
      </c>
      <c r="C164">
        <f t="shared" ca="1" si="6"/>
        <v>1.836282458246562</v>
      </c>
      <c r="F164">
        <f t="shared" ca="1" si="7"/>
        <v>0.15940893531851552</v>
      </c>
      <c r="V164">
        <f t="shared" ca="1" si="8"/>
        <v>0.34024850270498985</v>
      </c>
    </row>
    <row r="165" spans="1:22" x14ac:dyDescent="0.3">
      <c r="A165" t="s">
        <v>37</v>
      </c>
      <c r="B165">
        <f ca="1">'Modello P-C SJF'!$D171</f>
        <v>0.92939317824332379</v>
      </c>
      <c r="C165">
        <f t="shared" ca="1" si="6"/>
        <v>1.855831068021025</v>
      </c>
      <c r="F165">
        <f t="shared" ca="1" si="7"/>
        <v>0.15632297365153236</v>
      </c>
      <c r="V165">
        <f t="shared" ca="1" si="8"/>
        <v>1.3533891408755015E-2</v>
      </c>
    </row>
    <row r="166" spans="1:22" x14ac:dyDescent="0.3">
      <c r="A166" t="s">
        <v>36</v>
      </c>
      <c r="B166">
        <f ca="1">'Modello P-C SJF'!$D172</f>
        <v>4.487331803449876E-2</v>
      </c>
      <c r="C166">
        <f t="shared" ca="1" si="6"/>
        <v>1.8580216334432982</v>
      </c>
      <c r="F166">
        <f t="shared" ca="1" si="7"/>
        <v>0.15598091274092973</v>
      </c>
      <c r="V166">
        <f t="shared" ca="1" si="8"/>
        <v>1.0017109603736241</v>
      </c>
    </row>
    <row r="167" spans="1:22" x14ac:dyDescent="0.3">
      <c r="A167" t="s">
        <v>35</v>
      </c>
      <c r="B167">
        <f ca="1">'Modello P-C SJF'!$D173</f>
        <v>1.0589560413089414</v>
      </c>
      <c r="C167">
        <f t="shared" ca="1" si="6"/>
        <v>1.9106489979271728</v>
      </c>
      <c r="F167">
        <f t="shared" ca="1" si="7"/>
        <v>0.14798431391036593</v>
      </c>
      <c r="V167">
        <f t="shared" ca="1" si="8"/>
        <v>1.7496963187005142E-4</v>
      </c>
    </row>
    <row r="168" spans="1:22" x14ac:dyDescent="0.3">
      <c r="A168" t="s">
        <v>34</v>
      </c>
      <c r="B168">
        <f ca="1">'Modello P-C SJF'!$D174</f>
        <v>1.7486511867757544</v>
      </c>
      <c r="C168">
        <f t="shared" ca="1" si="6"/>
        <v>2.0052778044218393</v>
      </c>
      <c r="F168">
        <f t="shared" ca="1" si="7"/>
        <v>0.13462289166565844</v>
      </c>
      <c r="V168">
        <f t="shared" ca="1" si="8"/>
        <v>0.49410039832278674</v>
      </c>
    </row>
    <row r="169" spans="1:22" x14ac:dyDescent="0.3">
      <c r="A169" t="s">
        <v>33</v>
      </c>
      <c r="B169">
        <f ca="1">'Modello P-C SJF'!$D175</f>
        <v>0.55178356963753783</v>
      </c>
      <c r="C169">
        <f t="shared" ca="1" si="6"/>
        <v>2.0588212860945001</v>
      </c>
      <c r="F169">
        <f t="shared" ca="1" si="7"/>
        <v>0.1276042902363812</v>
      </c>
      <c r="V169">
        <f t="shared" ca="1" si="8"/>
        <v>0.24398152765771561</v>
      </c>
    </row>
    <row r="170" spans="1:22" x14ac:dyDescent="0.3">
      <c r="A170" t="s">
        <v>32</v>
      </c>
      <c r="B170">
        <f ca="1">'Modello P-C SJF'!$D176</f>
        <v>1.5986125754324565</v>
      </c>
      <c r="C170">
        <f t="shared" ca="1" si="6"/>
        <v>2.0811960252085346</v>
      </c>
      <c r="F170">
        <f t="shared" ca="1" si="7"/>
        <v>0.12478088183472626</v>
      </c>
      <c r="V170">
        <f t="shared" ca="1" si="8"/>
        <v>0.30568087538359212</v>
      </c>
    </row>
    <row r="171" spans="1:22" x14ac:dyDescent="0.3">
      <c r="A171" t="s">
        <v>31</v>
      </c>
      <c r="B171">
        <f ca="1">'Modello P-C SJF'!$D177</f>
        <v>0.10606019859254461</v>
      </c>
      <c r="C171">
        <f t="shared" ca="1" si="6"/>
        <v>2.172346964554619</v>
      </c>
      <c r="F171">
        <f t="shared" ca="1" si="7"/>
        <v>0.11390996030416001</v>
      </c>
      <c r="V171">
        <f t="shared" ca="1" si="8"/>
        <v>0.88297639002306461</v>
      </c>
    </row>
    <row r="172" spans="1:22" x14ac:dyDescent="0.3">
      <c r="A172" t="s">
        <v>30</v>
      </c>
      <c r="B172">
        <f ca="1">'Modello P-C SJF'!$D178</f>
        <v>0.27110051958542214</v>
      </c>
      <c r="C172">
        <f t="shared" ca="1" si="6"/>
        <v>2.1846382915478859</v>
      </c>
      <c r="F172">
        <f t="shared" ca="1" si="7"/>
        <v>0.11251842516001409</v>
      </c>
      <c r="V172">
        <f t="shared" ca="1" si="8"/>
        <v>0.6000484036381164</v>
      </c>
    </row>
    <row r="173" spans="1:22" x14ac:dyDescent="0.3">
      <c r="A173" t="s">
        <v>29</v>
      </c>
      <c r="B173">
        <f ca="1">'Modello P-C SJF'!$D179</f>
        <v>0.26329176872986038</v>
      </c>
      <c r="C173">
        <f t="shared" ca="1" si="6"/>
        <v>2.2137943349905598</v>
      </c>
      <c r="F173">
        <f t="shared" ca="1" si="7"/>
        <v>0.10928519618745258</v>
      </c>
      <c r="V173">
        <f t="shared" ca="1" si="8"/>
        <v>0.61220713298519924</v>
      </c>
    </row>
    <row r="174" spans="1:22" x14ac:dyDescent="0.3">
      <c r="A174" t="s">
        <v>28</v>
      </c>
      <c r="B174">
        <f ca="1">'Modello P-C SJF'!$D180</f>
        <v>2.2817995097989083</v>
      </c>
      <c r="C174">
        <f t="shared" ca="1" si="6"/>
        <v>2.220732939132867</v>
      </c>
      <c r="F174">
        <f t="shared" ca="1" si="7"/>
        <v>0.10852953412418274</v>
      </c>
      <c r="V174">
        <f t="shared" ca="1" si="8"/>
        <v>1.5278717078608681</v>
      </c>
    </row>
    <row r="175" spans="1:22" x14ac:dyDescent="0.3">
      <c r="A175" t="s">
        <v>27</v>
      </c>
      <c r="B175">
        <f ca="1">'Modello P-C SJF'!$D181</f>
        <v>2.230638563366766</v>
      </c>
      <c r="C175">
        <f t="shared" ca="1" si="6"/>
        <v>2.230638563366766</v>
      </c>
      <c r="F175">
        <f t="shared" ca="1" si="7"/>
        <v>0.10745978833782564</v>
      </c>
      <c r="V175">
        <f t="shared" ca="1" si="8"/>
        <v>1.4040120179680224</v>
      </c>
    </row>
    <row r="176" spans="1:22" x14ac:dyDescent="0.3">
      <c r="A176" t="s">
        <v>26</v>
      </c>
      <c r="B176">
        <f ca="1">'Modello P-C SJF'!$D182</f>
        <v>2.2315380856233755</v>
      </c>
      <c r="C176">
        <f t="shared" ca="1" si="6"/>
        <v>2.2315380856233755</v>
      </c>
      <c r="F176">
        <f t="shared" ca="1" si="7"/>
        <v>0.10736316932851472</v>
      </c>
      <c r="V176">
        <f t="shared" ca="1" si="8"/>
        <v>1.4061445331777067</v>
      </c>
    </row>
    <row r="177" spans="1:22" x14ac:dyDescent="0.3">
      <c r="A177" t="s">
        <v>25</v>
      </c>
      <c r="B177">
        <f ca="1">'Modello P-C SJF'!$D183</f>
        <v>0.90469311885429449</v>
      </c>
      <c r="C177">
        <f t="shared" ca="1" si="6"/>
        <v>2.2623422175130563</v>
      </c>
      <c r="F177">
        <f t="shared" ca="1" si="7"/>
        <v>0.10410635923102074</v>
      </c>
      <c r="V177">
        <f t="shared" ca="1" si="8"/>
        <v>1.9890959726407621E-2</v>
      </c>
    </row>
    <row r="178" spans="1:22" x14ac:dyDescent="0.3">
      <c r="A178" t="s">
        <v>24</v>
      </c>
      <c r="B178">
        <f ca="1">'Modello P-C SJF'!$D184</f>
        <v>0.42531304976008122</v>
      </c>
      <c r="C178">
        <f t="shared" ca="1" si="6"/>
        <v>2.274996597129439</v>
      </c>
      <c r="F178">
        <f t="shared" ca="1" si="7"/>
        <v>0.10279725824045503</v>
      </c>
      <c r="V178">
        <f t="shared" ca="1" si="8"/>
        <v>0.38491524727785531</v>
      </c>
    </row>
    <row r="179" spans="1:22" x14ac:dyDescent="0.3">
      <c r="A179" t="s">
        <v>23</v>
      </c>
      <c r="B179">
        <f ca="1">'Modello P-C SJF'!$D185</f>
        <v>0.76594698475653722</v>
      </c>
      <c r="C179">
        <f t="shared" ca="1" si="6"/>
        <v>2.2817995097989083</v>
      </c>
      <c r="F179">
        <f t="shared" ca="1" si="7"/>
        <v>0.10210031079416039</v>
      </c>
      <c r="V179">
        <f t="shared" ca="1" si="8"/>
        <v>7.8277658563450703E-2</v>
      </c>
    </row>
    <row r="180" spans="1:22" x14ac:dyDescent="0.3">
      <c r="A180" t="s">
        <v>22</v>
      </c>
      <c r="B180">
        <f ca="1">'Modello P-C SJF'!$D186</f>
        <v>2.6103586373420287</v>
      </c>
      <c r="C180">
        <f t="shared" ca="1" si="6"/>
        <v>2.2951263452680344</v>
      </c>
      <c r="F180">
        <f t="shared" ca="1" si="7"/>
        <v>0.10074866334726329</v>
      </c>
      <c r="V180">
        <f t="shared" ca="1" si="8"/>
        <v>2.448067677557157</v>
      </c>
    </row>
    <row r="181" spans="1:22" x14ac:dyDescent="0.3">
      <c r="A181" t="s">
        <v>21</v>
      </c>
      <c r="B181">
        <f ca="1">'Modello P-C SJF'!$D187</f>
        <v>0.75325763012294233</v>
      </c>
      <c r="C181">
        <f t="shared" ca="1" si="6"/>
        <v>2.3935201502071242</v>
      </c>
      <c r="F181">
        <f t="shared" ca="1" si="7"/>
        <v>9.1307700673931805E-2</v>
      </c>
      <c r="V181">
        <f t="shared" ca="1" si="8"/>
        <v>8.5539170307915649E-2</v>
      </c>
    </row>
    <row r="182" spans="1:22" x14ac:dyDescent="0.3">
      <c r="A182" t="s">
        <v>20</v>
      </c>
      <c r="B182">
        <f ca="1">'Modello P-C SJF'!$D188</f>
        <v>2.172346964554619</v>
      </c>
      <c r="C182">
        <f t="shared" ca="1" si="6"/>
        <v>2.4077881567325243</v>
      </c>
      <c r="F182">
        <f t="shared" ca="1" si="7"/>
        <v>9.0014171788399655E-2</v>
      </c>
      <c r="V182">
        <f t="shared" ca="1" si="8"/>
        <v>1.2692693165191526</v>
      </c>
    </row>
    <row r="183" spans="1:22" x14ac:dyDescent="0.3">
      <c r="A183" t="s">
        <v>19</v>
      </c>
      <c r="B183">
        <f ca="1">'Modello P-C SJF'!$D189</f>
        <v>0.95648968088196462</v>
      </c>
      <c r="C183">
        <f t="shared" ca="1" si="6"/>
        <v>2.449819120016588</v>
      </c>
      <c r="F183">
        <f t="shared" ca="1" si="7"/>
        <v>8.6309196693608356E-2</v>
      </c>
      <c r="V183">
        <f t="shared" ca="1" si="8"/>
        <v>7.9635548101281012E-3</v>
      </c>
    </row>
    <row r="184" spans="1:22" x14ac:dyDescent="0.3">
      <c r="A184" t="s">
        <v>18</v>
      </c>
      <c r="B184">
        <f ca="1">'Modello P-C SJF'!$D190</f>
        <v>5.7240182790369867E-2</v>
      </c>
      <c r="C184">
        <f t="shared" ca="1" si="6"/>
        <v>2.4871901646338657</v>
      </c>
      <c r="F184">
        <f t="shared" ca="1" si="7"/>
        <v>8.3143257532562576E-2</v>
      </c>
      <c r="V184">
        <f t="shared" ca="1" si="8"/>
        <v>0.97710902003313882</v>
      </c>
    </row>
    <row r="185" spans="1:22" x14ac:dyDescent="0.3">
      <c r="A185" t="s">
        <v>17</v>
      </c>
      <c r="B185">
        <f ca="1">'Modello P-C SJF'!$D191</f>
        <v>2.1846382915478859</v>
      </c>
      <c r="C185">
        <f t="shared" ca="1" si="6"/>
        <v>2.5274436709473944</v>
      </c>
      <c r="F185">
        <f t="shared" ca="1" si="7"/>
        <v>7.9862915454293484E-2</v>
      </c>
      <c r="V185">
        <f t="shared" ca="1" si="8"/>
        <v>1.2971156667839987</v>
      </c>
    </row>
    <row r="186" spans="1:22" x14ac:dyDescent="0.3">
      <c r="A186" t="s">
        <v>16</v>
      </c>
      <c r="B186">
        <f ca="1">'Modello P-C SJF'!$D192</f>
        <v>1.442930381999755</v>
      </c>
      <c r="C186">
        <f t="shared" ca="1" si="6"/>
        <v>2.5281112307587335</v>
      </c>
      <c r="F186">
        <f t="shared" ca="1" si="7"/>
        <v>7.980961997245993E-2</v>
      </c>
      <c r="V186">
        <f t="shared" ca="1" si="8"/>
        <v>0.1577693885983531</v>
      </c>
    </row>
    <row r="187" spans="1:22" x14ac:dyDescent="0.3">
      <c r="A187" t="s">
        <v>15</v>
      </c>
      <c r="B187">
        <f ca="1">'Modello P-C SJF'!$D193</f>
        <v>2.5567269991078745</v>
      </c>
      <c r="C187">
        <f t="shared" ca="1" si="6"/>
        <v>2.5567269991078745</v>
      </c>
      <c r="F187">
        <f t="shared" ca="1" si="7"/>
        <v>7.7558173444713607E-2</v>
      </c>
      <c r="V187">
        <f t="shared" ca="1" si="8"/>
        <v>2.2831166679560893</v>
      </c>
    </row>
    <row r="188" spans="1:22" x14ac:dyDescent="0.3">
      <c r="A188" t="s">
        <v>14</v>
      </c>
      <c r="B188">
        <f ca="1">'Modello P-C SJF'!$D194</f>
        <v>0.87887959886578071</v>
      </c>
      <c r="C188">
        <f t="shared" ca="1" si="6"/>
        <v>2.5858800571522993</v>
      </c>
      <c r="F188">
        <f t="shared" ca="1" si="7"/>
        <v>7.5329755930610406E-2</v>
      </c>
      <c r="V188">
        <f t="shared" ca="1" si="8"/>
        <v>2.7838533322086891E-2</v>
      </c>
    </row>
    <row r="189" spans="1:22" x14ac:dyDescent="0.3">
      <c r="A189" t="s">
        <v>13</v>
      </c>
      <c r="B189">
        <f ca="1">'Modello P-C SJF'!$D195</f>
        <v>0.46236266150823857</v>
      </c>
      <c r="C189">
        <f t="shared" ca="1" si="6"/>
        <v>2.5914871103152293</v>
      </c>
      <c r="F189">
        <f t="shared" ca="1" si="7"/>
        <v>7.4908559922062357E-2</v>
      </c>
      <c r="V189">
        <f t="shared" ca="1" si="8"/>
        <v>0.34031562289413436</v>
      </c>
    </row>
    <row r="190" spans="1:22" x14ac:dyDescent="0.3">
      <c r="A190" t="s">
        <v>12</v>
      </c>
      <c r="B190">
        <f ca="1">'Modello P-C SJF'!$D196</f>
        <v>0.57419388854387199</v>
      </c>
      <c r="C190">
        <f t="shared" ca="1" si="6"/>
        <v>2.6103586373420287</v>
      </c>
      <c r="F190">
        <f t="shared" ca="1" si="7"/>
        <v>7.3508176258203162E-2</v>
      </c>
      <c r="V190">
        <f t="shared" ca="1" si="8"/>
        <v>0.22234482624844468</v>
      </c>
    </row>
    <row r="191" spans="1:22" x14ac:dyDescent="0.3">
      <c r="A191" t="s">
        <v>11</v>
      </c>
      <c r="B191">
        <f ca="1">'Modello P-C SJF'!$D197</f>
        <v>1.9511546520467089E-4</v>
      </c>
      <c r="C191">
        <f t="shared" ca="1" si="6"/>
        <v>2.8020642130684905</v>
      </c>
      <c r="F191">
        <f t="shared" ca="1" si="7"/>
        <v>6.0684667165250443E-2</v>
      </c>
      <c r="V191">
        <f t="shared" ca="1" si="8"/>
        <v>1.0931399172615586</v>
      </c>
    </row>
    <row r="192" spans="1:22" x14ac:dyDescent="0.3">
      <c r="A192" t="s">
        <v>10</v>
      </c>
      <c r="B192">
        <f ca="1">'Modello P-C SJF'!$D198</f>
        <v>0.44023561286110252</v>
      </c>
      <c r="C192">
        <f t="shared" ca="1" si="6"/>
        <v>3.2399440915617466</v>
      </c>
      <c r="F192">
        <f t="shared" ca="1" si="7"/>
        <v>3.916608475240746E-2</v>
      </c>
      <c r="V192">
        <f t="shared" ca="1" si="8"/>
        <v>0.36662155476848979</v>
      </c>
    </row>
    <row r="193" spans="1:22" x14ac:dyDescent="0.3">
      <c r="A193" t="s">
        <v>9</v>
      </c>
      <c r="B193">
        <f ca="1">'Modello P-C SJF'!$D199</f>
        <v>0.29876094773523554</v>
      </c>
      <c r="C193">
        <f t="shared" ca="1" si="6"/>
        <v>3.5534321138923302</v>
      </c>
      <c r="F193">
        <f t="shared" ca="1" si="7"/>
        <v>2.8626222405641055E-2</v>
      </c>
      <c r="V193">
        <f t="shared" ca="1" si="8"/>
        <v>0.55796042346138841</v>
      </c>
    </row>
    <row r="194" spans="1:22" x14ac:dyDescent="0.3">
      <c r="A194" t="s">
        <v>8</v>
      </c>
      <c r="B194">
        <f ca="1">'Modello P-C SJF'!$D200</f>
        <v>0.58443746950155062</v>
      </c>
      <c r="C194">
        <f t="shared" ca="1" si="6"/>
        <v>3.6321735688303884</v>
      </c>
      <c r="F194">
        <f t="shared" ca="1" si="7"/>
        <v>2.6458612248155378E-2</v>
      </c>
      <c r="V194">
        <f t="shared" ca="1" si="8"/>
        <v>0.21278935264629703</v>
      </c>
    </row>
    <row r="195" spans="1:22" x14ac:dyDescent="0.3">
      <c r="A195" t="s">
        <v>7</v>
      </c>
      <c r="B195">
        <f ca="1">'Modello P-C SJF'!$D201</f>
        <v>5.0842471082502873E-3</v>
      </c>
      <c r="C195">
        <f t="shared" ref="C195:C202" ca="1" si="9">SMALL($B$3:$B$202, ROW(A193))</f>
        <v>3.8169170648023876</v>
      </c>
      <c r="F195">
        <f t="shared" ref="F195:F202" ca="1" si="10">$E$2*EXP(-$E$2*$C195)</f>
        <v>2.1995507196890366E-2</v>
      </c>
      <c r="V195">
        <f t="shared" ref="V195:V202" ca="1" si="11">($B195-$E$3)^2</f>
        <v>1.082940320820351</v>
      </c>
    </row>
    <row r="196" spans="1:22" x14ac:dyDescent="0.3">
      <c r="A196" t="s">
        <v>6</v>
      </c>
      <c r="B196">
        <f ca="1">'Modello P-C SJF'!$D202</f>
        <v>0.40786081504181704</v>
      </c>
      <c r="C196">
        <f t="shared" ca="1" si="9"/>
        <v>3.8262254061781671</v>
      </c>
      <c r="F196">
        <f t="shared" ca="1" si="10"/>
        <v>2.1791715460158675E-2</v>
      </c>
      <c r="V196">
        <f t="shared" ca="1" si="11"/>
        <v>0.40687509754318307</v>
      </c>
    </row>
    <row r="197" spans="1:22" x14ac:dyDescent="0.3">
      <c r="A197" t="s">
        <v>5</v>
      </c>
      <c r="B197">
        <f ca="1">'Modello P-C SJF'!$D203</f>
        <v>0.28569406207328885</v>
      </c>
      <c r="C197">
        <f t="shared" ca="1" si="9"/>
        <v>3.8346927374097799</v>
      </c>
      <c r="F197">
        <f t="shared" ca="1" si="10"/>
        <v>2.1607976773185263E-2</v>
      </c>
      <c r="V197">
        <f t="shared" ca="1" si="11"/>
        <v>0.57765224439841367</v>
      </c>
    </row>
    <row r="198" spans="1:22" x14ac:dyDescent="0.3">
      <c r="A198" t="s">
        <v>4</v>
      </c>
      <c r="B198">
        <f ca="1">'Modello P-C SJF'!$D204</f>
        <v>0.73398006225489765</v>
      </c>
      <c r="C198">
        <f t="shared" ca="1" si="9"/>
        <v>3.9166579973311699</v>
      </c>
      <c r="F198">
        <f t="shared" ca="1" si="10"/>
        <v>1.9907514661909095E-2</v>
      </c>
      <c r="V198">
        <f t="shared" ca="1" si="11"/>
        <v>9.7187046419586642E-2</v>
      </c>
    </row>
    <row r="199" spans="1:22" x14ac:dyDescent="0.3">
      <c r="A199" t="s">
        <v>3</v>
      </c>
      <c r="B199">
        <f ca="1">'Modello P-C SJF'!$D205</f>
        <v>0.89374995548267366</v>
      </c>
      <c r="C199">
        <f t="shared" ca="1" si="9"/>
        <v>4.1805189812423782</v>
      </c>
      <c r="F199">
        <f t="shared" ca="1" si="10"/>
        <v>1.5290569988167354E-2</v>
      </c>
      <c r="V199">
        <f t="shared" ca="1" si="11"/>
        <v>2.3097457510196994E-2</v>
      </c>
    </row>
    <row r="200" spans="1:22" x14ac:dyDescent="0.3">
      <c r="A200" t="s">
        <v>2</v>
      </c>
      <c r="B200">
        <f ca="1">'Modello P-C SJF'!$D206</f>
        <v>2.4871901646338657</v>
      </c>
      <c r="C200">
        <f t="shared" ca="1" si="9"/>
        <v>4.3502706881590836</v>
      </c>
      <c r="F200">
        <f t="shared" ca="1" si="10"/>
        <v>1.2903319331954658E-2</v>
      </c>
      <c r="V200">
        <f t="shared" ca="1" si="11"/>
        <v>2.077811924886817</v>
      </c>
    </row>
    <row r="201" spans="1:22" x14ac:dyDescent="0.3">
      <c r="A201" t="s">
        <v>1</v>
      </c>
      <c r="B201">
        <f ca="1">'Modello P-C SJF'!$D207</f>
        <v>2.5914871103152293</v>
      </c>
      <c r="C201">
        <f t="shared" ca="1" si="9"/>
        <v>4.9166832772262978</v>
      </c>
      <c r="F201">
        <f t="shared" ca="1" si="10"/>
        <v>7.3233802323110506E-3</v>
      </c>
      <c r="V201">
        <f t="shared" ca="1" si="11"/>
        <v>2.3893698896984179</v>
      </c>
    </row>
    <row r="202" spans="1:22" x14ac:dyDescent="0.3">
      <c r="A202" t="s">
        <v>0</v>
      </c>
      <c r="B202">
        <f ca="1">'Modello P-C SJF'!$D208</f>
        <v>6.1568280533355066</v>
      </c>
      <c r="C202">
        <f t="shared" ca="1" si="9"/>
        <v>6.1568280533355066</v>
      </c>
      <c r="F202">
        <f t="shared" ca="1" si="10"/>
        <v>2.1189638636459614E-3</v>
      </c>
      <c r="V202">
        <f t="shared" ca="1" si="11"/>
        <v>26.12333933297182</v>
      </c>
    </row>
    <row r="204" spans="1:22" x14ac:dyDescent="0.3">
      <c r="U204" t="s">
        <v>227</v>
      </c>
      <c r="V204">
        <f ca="1">SUM(V3:V202)</f>
        <v>218.41723012166207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oleObjects>
    <mc:AlternateContent xmlns:mc="http://schemas.openxmlformats.org/markup-compatibility/2006">
      <mc:Choice Requires="x14">
        <oleObject shapeId="8193" r:id="rId4">
          <objectPr defaultSize="0" autoPict="0" r:id="rId5">
            <anchor moveWithCells="1" sizeWithCells="1">
              <from>
                <xdr:col>7</xdr:col>
                <xdr:colOff>15240</xdr:colOff>
                <xdr:row>18</xdr:row>
                <xdr:rowOff>15240</xdr:rowOff>
              </from>
              <to>
                <xdr:col>11</xdr:col>
                <xdr:colOff>304800</xdr:colOff>
                <xdr:row>21</xdr:row>
                <xdr:rowOff>160020</xdr:rowOff>
              </to>
            </anchor>
          </objectPr>
        </oleObject>
      </mc:Choice>
      <mc:Fallback>
        <oleObject shapeId="8193" r:id="rId4"/>
      </mc:Fallback>
    </mc:AlternateContent>
    <mc:AlternateContent xmlns:mc="http://schemas.openxmlformats.org/markup-compatibility/2006">
      <mc:Choice Requires="x14">
        <oleObject shapeId="8194" r:id="rId6">
          <objectPr defaultSize="0" autoPict="0" r:id="rId7">
            <anchor moveWithCells="1" sizeWithCells="1">
              <from>
                <xdr:col>15</xdr:col>
                <xdr:colOff>15240</xdr:colOff>
                <xdr:row>18</xdr:row>
                <xdr:rowOff>0</xdr:rowOff>
              </from>
              <to>
                <xdr:col>18</xdr:col>
                <xdr:colOff>236220</xdr:colOff>
                <xdr:row>22</xdr:row>
                <xdr:rowOff>30480</xdr:rowOff>
              </to>
            </anchor>
          </objectPr>
        </oleObject>
      </mc:Choice>
      <mc:Fallback>
        <oleObject shapeId="8194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8F4D-B06F-48EF-806A-FA59B4AE6C1B}">
  <sheetPr codeName="Foglio4"/>
  <dimension ref="A1:V204"/>
  <sheetViews>
    <sheetView workbookViewId="0">
      <selection activeCell="T32" sqref="T32"/>
    </sheetView>
  </sheetViews>
  <sheetFormatPr defaultRowHeight="14.4" x14ac:dyDescent="0.3"/>
  <cols>
    <col min="2" max="2" width="9.5546875" bestFit="1" customWidth="1"/>
    <col min="3" max="3" width="12" bestFit="1" customWidth="1"/>
    <col min="6" max="6" width="12" bestFit="1" customWidth="1"/>
    <col min="10" max="10" width="6.33203125" customWidth="1"/>
    <col min="16" max="16" width="12" bestFit="1" customWidth="1"/>
  </cols>
  <sheetData>
    <row r="1" spans="1:22" x14ac:dyDescent="0.3">
      <c r="B1" t="s">
        <v>207</v>
      </c>
      <c r="I1" s="22"/>
      <c r="J1" s="22"/>
      <c r="K1" s="22"/>
      <c r="L1" s="22"/>
      <c r="M1" s="22"/>
    </row>
    <row r="2" spans="1:22" x14ac:dyDescent="0.3">
      <c r="A2" s="11" t="s">
        <v>240</v>
      </c>
      <c r="B2" t="s">
        <v>264</v>
      </c>
      <c r="C2" t="s">
        <v>248</v>
      </c>
      <c r="D2" s="28" t="s">
        <v>250</v>
      </c>
      <c r="E2" s="29">
        <f>'Modello P-C SJF'!E1</f>
        <v>1</v>
      </c>
      <c r="F2" t="s">
        <v>249</v>
      </c>
      <c r="V2" t="s">
        <v>251</v>
      </c>
    </row>
    <row r="3" spans="1:22" x14ac:dyDescent="0.3">
      <c r="A3" t="s">
        <v>199</v>
      </c>
      <c r="B3">
        <f ca="1">'Modello P-C SJF'!$H9</f>
        <v>0.1630268301352043</v>
      </c>
      <c r="C3">
        <f t="shared" ref="C3:C66" ca="1" si="0">SMALL($B$3:$B$202, ROW(A1))</f>
        <v>5.1874958026793185E-2</v>
      </c>
      <c r="D3" s="28" t="s">
        <v>252</v>
      </c>
      <c r="E3" s="29">
        <f ca="1">AVERAGE(B3:B202)</f>
        <v>0.98073312358812192</v>
      </c>
      <c r="F3">
        <f t="shared" ref="F3:F66" ca="1" si="1">$E$2*EXP(-$E$2*$C3)</f>
        <v>0.94944758021954456</v>
      </c>
      <c r="V3">
        <f t="shared" ref="V3:V66" ca="1" si="2">($B3-$E$3)^2</f>
        <v>0.66864358235250898</v>
      </c>
    </row>
    <row r="4" spans="1:22" x14ac:dyDescent="0.3">
      <c r="A4" t="s">
        <v>198</v>
      </c>
      <c r="B4">
        <f ca="1">'Modello P-C SJF'!$H10</f>
        <v>0.12492522153141586</v>
      </c>
      <c r="C4">
        <f t="shared" ca="1" si="0"/>
        <v>5.8647842154474036E-2</v>
      </c>
      <c r="D4" s="28" t="s">
        <v>298</v>
      </c>
      <c r="E4" s="29">
        <f>2/E2^2</f>
        <v>2</v>
      </c>
      <c r="F4">
        <f t="shared" ca="1" si="1"/>
        <v>0.94303880920371108</v>
      </c>
      <c r="V4">
        <f t="shared" ca="1" si="2"/>
        <v>0.73240716522270066</v>
      </c>
    </row>
    <row r="5" spans="1:22" x14ac:dyDescent="0.3">
      <c r="A5" t="s">
        <v>197</v>
      </c>
      <c r="B5">
        <f ca="1">'Modello P-C SJF'!$H11</f>
        <v>1.099894123266038</v>
      </c>
      <c r="C5">
        <f t="shared" ca="1" si="0"/>
        <v>6.0294362068341718E-2</v>
      </c>
      <c r="F5">
        <f t="shared" ca="1" si="1"/>
        <v>0.94148735462573918</v>
      </c>
      <c r="V5">
        <f t="shared" ca="1" si="2"/>
        <v>1.4199343844240308E-2</v>
      </c>
    </row>
    <row r="6" spans="1:22" x14ac:dyDescent="0.3">
      <c r="A6" t="s">
        <v>196</v>
      </c>
      <c r="B6">
        <f ca="1">'Modello P-C SJF'!$H12</f>
        <v>0.22292617776071683</v>
      </c>
      <c r="C6">
        <f t="shared" ca="1" si="0"/>
        <v>7.740692396311713E-2</v>
      </c>
      <c r="F6">
        <f t="shared" ca="1" si="1"/>
        <v>0.92551316348517232</v>
      </c>
      <c r="V6">
        <f t="shared" ca="1" si="2"/>
        <v>0.57427136714425964</v>
      </c>
    </row>
    <row r="7" spans="1:22" x14ac:dyDescent="0.3">
      <c r="A7" t="s">
        <v>195</v>
      </c>
      <c r="B7">
        <f ca="1">'Modello P-C SJF'!$H13</f>
        <v>3.0784382253475795</v>
      </c>
      <c r="C7">
        <f t="shared" ca="1" si="0"/>
        <v>8.8221544134496649E-2</v>
      </c>
      <c r="F7">
        <f t="shared" ca="1" si="1"/>
        <v>0.91555801774442425</v>
      </c>
      <c r="V7">
        <f t="shared" ca="1" si="2"/>
        <v>4.4003666939476567</v>
      </c>
    </row>
    <row r="8" spans="1:22" x14ac:dyDescent="0.3">
      <c r="A8" t="s">
        <v>194</v>
      </c>
      <c r="B8">
        <f ca="1">'Modello P-C SJF'!$H14</f>
        <v>0.84999755760170759</v>
      </c>
      <c r="C8">
        <f t="shared" ca="1" si="0"/>
        <v>8.9601319104318775E-2</v>
      </c>
      <c r="F8">
        <f t="shared" ca="1" si="1"/>
        <v>0.91429562481747828</v>
      </c>
      <c r="V8">
        <f t="shared" ca="1" si="2"/>
        <v>1.7091788213788098E-2</v>
      </c>
    </row>
    <row r="9" spans="1:22" x14ac:dyDescent="0.3">
      <c r="A9" t="s">
        <v>193</v>
      </c>
      <c r="B9">
        <f ca="1">'Modello P-C SJF'!$H15</f>
        <v>1.8916750693976851</v>
      </c>
      <c r="C9">
        <f t="shared" ca="1" si="0"/>
        <v>9.2654547105591248E-2</v>
      </c>
      <c r="F9">
        <f t="shared" ca="1" si="1"/>
        <v>0.9115083291043149</v>
      </c>
      <c r="V9">
        <f t="shared" ca="1" si="2"/>
        <v>0.82981522863531321</v>
      </c>
    </row>
    <row r="10" spans="1:22" x14ac:dyDescent="0.3">
      <c r="A10" t="s">
        <v>192</v>
      </c>
      <c r="B10">
        <f ca="1">'Modello P-C SJF'!$H16</f>
        <v>0.38460590435169284</v>
      </c>
      <c r="C10">
        <f t="shared" ca="1" si="0"/>
        <v>9.270726077438271E-2</v>
      </c>
      <c r="F10">
        <f t="shared" ca="1" si="1"/>
        <v>0.91146028142254976</v>
      </c>
      <c r="V10">
        <f t="shared" ca="1" si="2"/>
        <v>0.35536766151455756</v>
      </c>
    </row>
    <row r="11" spans="1:22" x14ac:dyDescent="0.3">
      <c r="A11" t="s">
        <v>191</v>
      </c>
      <c r="B11">
        <f ca="1">'Modello P-C SJF'!$H17</f>
        <v>2.4238232532262831</v>
      </c>
      <c r="C11">
        <f t="shared" ca="1" si="0"/>
        <v>9.392433416179799E-2</v>
      </c>
      <c r="F11">
        <f t="shared" ca="1" si="1"/>
        <v>0.91035164215486808</v>
      </c>
      <c r="V11">
        <f t="shared" ca="1" si="2"/>
        <v>2.082509122259085</v>
      </c>
    </row>
    <row r="12" spans="1:22" x14ac:dyDescent="0.3">
      <c r="A12" t="s">
        <v>190</v>
      </c>
      <c r="B12">
        <f ca="1">'Modello P-C SJF'!$H18</f>
        <v>0.19253325806886881</v>
      </c>
      <c r="C12">
        <f t="shared" ca="1" si="0"/>
        <v>0.11163250697415447</v>
      </c>
      <c r="F12">
        <f t="shared" ca="1" si="1"/>
        <v>0.89437287290802281</v>
      </c>
      <c r="V12">
        <f t="shared" ca="1" si="2"/>
        <v>0.62125902800456878</v>
      </c>
    </row>
    <row r="13" spans="1:22" x14ac:dyDescent="0.3">
      <c r="A13" t="s">
        <v>189</v>
      </c>
      <c r="B13">
        <f ca="1">'Modello P-C SJF'!$H19</f>
        <v>0.42178072712672238</v>
      </c>
      <c r="C13">
        <f t="shared" ca="1" si="0"/>
        <v>0.12492522153141586</v>
      </c>
      <c r="F13">
        <f t="shared" ca="1" si="1"/>
        <v>0.88256289681894406</v>
      </c>
      <c r="V13">
        <f t="shared" ca="1" si="2"/>
        <v>0.31242778150994166</v>
      </c>
    </row>
    <row r="14" spans="1:22" x14ac:dyDescent="0.3">
      <c r="A14" t="s">
        <v>188</v>
      </c>
      <c r="B14">
        <f ca="1">'Modello P-C SJF'!$H20</f>
        <v>2.8495650491379494</v>
      </c>
      <c r="C14">
        <f t="shared" ca="1" si="0"/>
        <v>0.13416235454680076</v>
      </c>
      <c r="F14">
        <f t="shared" ca="1" si="1"/>
        <v>0.87444808245579442</v>
      </c>
      <c r="V14">
        <f t="shared" ca="1" si="2"/>
        <v>3.4925327659542762</v>
      </c>
    </row>
    <row r="15" spans="1:22" x14ac:dyDescent="0.3">
      <c r="A15" t="s">
        <v>187</v>
      </c>
      <c r="B15">
        <f ca="1">'Modello P-C SJF'!$H21</f>
        <v>0.6103188125865765</v>
      </c>
      <c r="C15">
        <f t="shared" ca="1" si="0"/>
        <v>0.13699412247287826</v>
      </c>
      <c r="F15">
        <f t="shared" ca="1" si="1"/>
        <v>0.87197535117582414</v>
      </c>
      <c r="V15">
        <f t="shared" ca="1" si="2"/>
        <v>0.13720676179474961</v>
      </c>
    </row>
    <row r="16" spans="1:22" x14ac:dyDescent="0.3">
      <c r="A16" t="s">
        <v>186</v>
      </c>
      <c r="B16">
        <f ca="1">'Modello P-C SJF'!$H22</f>
        <v>1.3340281009434016</v>
      </c>
      <c r="C16">
        <f t="shared" ca="1" si="0"/>
        <v>0.14448138313101799</v>
      </c>
      <c r="F16">
        <f t="shared" ca="1" si="1"/>
        <v>0.86547102461379988</v>
      </c>
      <c r="V16">
        <f t="shared" ca="1" si="2"/>
        <v>0.12481734102446759</v>
      </c>
    </row>
    <row r="17" spans="1:22" x14ac:dyDescent="0.3">
      <c r="A17" t="s">
        <v>185</v>
      </c>
      <c r="B17">
        <f ca="1">'Modello P-C SJF'!$H23</f>
        <v>1.3604587914161461</v>
      </c>
      <c r="C17">
        <f t="shared" ca="1" si="0"/>
        <v>0.14662797683364343</v>
      </c>
      <c r="F17">
        <f t="shared" ca="1" si="1"/>
        <v>0.86361520252318025</v>
      </c>
      <c r="V17">
        <f t="shared" ca="1" si="2"/>
        <v>0.14419158280743896</v>
      </c>
    </row>
    <row r="18" spans="1:22" x14ac:dyDescent="0.3">
      <c r="A18" t="s">
        <v>184</v>
      </c>
      <c r="B18">
        <f ca="1">'Modello P-C SJF'!$H24</f>
        <v>0.63122735479312486</v>
      </c>
      <c r="C18">
        <f t="shared" ca="1" si="0"/>
        <v>0.16108605534717996</v>
      </c>
      <c r="F18">
        <f t="shared" ca="1" si="1"/>
        <v>0.85121881602446148</v>
      </c>
      <c r="V18">
        <f t="shared" ca="1" si="2"/>
        <v>0.12215428242098195</v>
      </c>
    </row>
    <row r="19" spans="1:22" x14ac:dyDescent="0.3">
      <c r="A19" t="s">
        <v>183</v>
      </c>
      <c r="B19">
        <f ca="1">'Modello P-C SJF'!$H25</f>
        <v>0.78153818504112516</v>
      </c>
      <c r="C19">
        <f t="shared" ca="1" si="0"/>
        <v>0.1630268301352043</v>
      </c>
      <c r="F19">
        <f t="shared" ca="1" si="1"/>
        <v>0.8495683940739257</v>
      </c>
      <c r="V19">
        <f t="shared" ca="1" si="2"/>
        <v>3.967862354274182E-2</v>
      </c>
    </row>
    <row r="20" spans="1:22" x14ac:dyDescent="0.3">
      <c r="A20" t="s">
        <v>182</v>
      </c>
      <c r="B20">
        <f ca="1">'Modello P-C SJF'!$H26</f>
        <v>0.54405768511585817</v>
      </c>
      <c r="C20">
        <f t="shared" ca="1" si="0"/>
        <v>0.17310088356607456</v>
      </c>
      <c r="F20">
        <f t="shared" ca="1" si="1"/>
        <v>0.84105276216267078</v>
      </c>
      <c r="V20">
        <f t="shared" ca="1" si="2"/>
        <v>0.1906854385649438</v>
      </c>
    </row>
    <row r="21" spans="1:22" x14ac:dyDescent="0.3">
      <c r="A21" t="s">
        <v>181</v>
      </c>
      <c r="B21">
        <f ca="1">'Modello P-C SJF'!$H27</f>
        <v>1.5855182867319852</v>
      </c>
      <c r="C21">
        <f t="shared" ca="1" si="0"/>
        <v>0.17681099749225213</v>
      </c>
      <c r="F21">
        <f t="shared" ca="1" si="1"/>
        <v>0.83793814196771488</v>
      </c>
      <c r="V21">
        <f t="shared" ca="1" si="2"/>
        <v>0.36576509355894937</v>
      </c>
    </row>
    <row r="22" spans="1:22" x14ac:dyDescent="0.3">
      <c r="A22" t="s">
        <v>180</v>
      </c>
      <c r="B22">
        <f ca="1">'Modello P-C SJF'!$H28</f>
        <v>1.0569723159624804</v>
      </c>
      <c r="C22">
        <f t="shared" ca="1" si="0"/>
        <v>0.18284191293291308</v>
      </c>
      <c r="F22">
        <f t="shared" ca="1" si="1"/>
        <v>0.83289981601901453</v>
      </c>
      <c r="V22">
        <f t="shared" ca="1" si="2"/>
        <v>5.812414453894443E-3</v>
      </c>
    </row>
    <row r="23" spans="1:22" x14ac:dyDescent="0.3">
      <c r="A23" t="s">
        <v>179</v>
      </c>
      <c r="B23">
        <f ca="1">'Modello P-C SJF'!$H29</f>
        <v>0.38639622248782279</v>
      </c>
      <c r="C23">
        <f t="shared" ca="1" si="0"/>
        <v>0.18595752748526523</v>
      </c>
      <c r="F23">
        <f t="shared" ca="1" si="1"/>
        <v>0.83030885953831135</v>
      </c>
      <c r="V23">
        <f t="shared" ca="1" si="2"/>
        <v>0.35323635200950676</v>
      </c>
    </row>
    <row r="24" spans="1:22" x14ac:dyDescent="0.3">
      <c r="A24" t="s">
        <v>178</v>
      </c>
      <c r="B24">
        <f ca="1">'Modello P-C SJF'!$H30</f>
        <v>0.25395536467794155</v>
      </c>
      <c r="C24">
        <f t="shared" ca="1" si="0"/>
        <v>0.18745356999259721</v>
      </c>
      <c r="F24">
        <f t="shared" ca="1" si="1"/>
        <v>0.82906761090209635</v>
      </c>
      <c r="H24" t="s">
        <v>253</v>
      </c>
      <c r="K24">
        <f ca="1">V204/('Modello P-C SJF'!C5-1)</f>
        <v>0.67769137546194691</v>
      </c>
      <c r="P24" t="s">
        <v>296</v>
      </c>
      <c r="Q24">
        <f ca="1">('Modello P-C SJF'!C5 -1) * K24</f>
        <v>134.86058371692744</v>
      </c>
      <c r="V24">
        <f t="shared" ca="1" si="2"/>
        <v>0.52820591084650426</v>
      </c>
    </row>
    <row r="25" spans="1:22" x14ac:dyDescent="0.3">
      <c r="A25" t="s">
        <v>177</v>
      </c>
      <c r="B25">
        <f ca="1">'Modello P-C SJF'!$H31</f>
        <v>0.2615390977573806</v>
      </c>
      <c r="C25">
        <f t="shared" ca="1" si="0"/>
        <v>0.19253325806886881</v>
      </c>
      <c r="F25">
        <f t="shared" ca="1" si="1"/>
        <v>0.82486688426776145</v>
      </c>
      <c r="H25" t="s">
        <v>254</v>
      </c>
      <c r="K25">
        <f ca="1">SQRT(K24)</f>
        <v>0.82322012576342352</v>
      </c>
      <c r="V25">
        <f t="shared" ca="1" si="2"/>
        <v>0.51724004679062907</v>
      </c>
    </row>
    <row r="26" spans="1:22" x14ac:dyDescent="0.3">
      <c r="A26" t="s">
        <v>176</v>
      </c>
      <c r="B26">
        <f ca="1">'Modello P-C SJF'!$H32</f>
        <v>1.0284097879273535</v>
      </c>
      <c r="C26">
        <f t="shared" ca="1" si="0"/>
        <v>0.19584486044246857</v>
      </c>
      <c r="F26">
        <f t="shared" ca="1" si="1"/>
        <v>0.82213977118528281</v>
      </c>
      <c r="H26" s="30" t="s">
        <v>255</v>
      </c>
      <c r="I26" s="29">
        <v>0.05</v>
      </c>
      <c r="Q26">
        <f>CHIINV(I26/2,'Modello P-C SJF'!C5-1)</f>
        <v>239.95968182764423</v>
      </c>
      <c r="V26">
        <f t="shared" ca="1" si="2"/>
        <v>2.273064322515755E-3</v>
      </c>
    </row>
    <row r="27" spans="1:22" x14ac:dyDescent="0.3">
      <c r="A27" t="s">
        <v>175</v>
      </c>
      <c r="B27">
        <f ca="1">'Modello P-C SJF'!$H33</f>
        <v>0.66596535845418936</v>
      </c>
      <c r="C27">
        <f t="shared" ca="1" si="0"/>
        <v>0.20052951645181216</v>
      </c>
      <c r="F27">
        <f t="shared" ca="1" si="1"/>
        <v>0.81829733643537095</v>
      </c>
      <c r="V27">
        <f t="shared" ca="1" si="2"/>
        <v>9.9078745967410536E-2</v>
      </c>
    </row>
    <row r="28" spans="1:22" x14ac:dyDescent="0.3">
      <c r="A28" t="s">
        <v>174</v>
      </c>
      <c r="B28">
        <f ca="1">'Modello P-C SJF'!$H34</f>
        <v>0.86974474619687037</v>
      </c>
      <c r="C28">
        <f t="shared" ca="1" si="0"/>
        <v>0.20230957557635465</v>
      </c>
      <c r="F28">
        <f t="shared" ca="1" si="1"/>
        <v>0.81684201445892102</v>
      </c>
      <c r="J28">
        <f>NORMSINV(1-(I26/2))</f>
        <v>1.9599639845400536</v>
      </c>
      <c r="Q28">
        <f>CHIINV(1-(I26/2),'Modello P-C SJF'!C5-1)</f>
        <v>161.82618239364686</v>
      </c>
      <c r="V28">
        <f t="shared" ca="1" si="2"/>
        <v>1.2318419915942879E-2</v>
      </c>
    </row>
    <row r="29" spans="1:22" x14ac:dyDescent="0.3">
      <c r="A29" t="s">
        <v>173</v>
      </c>
      <c r="B29">
        <f ca="1">'Modello P-C SJF'!$H35</f>
        <v>0.81413422960942816</v>
      </c>
      <c r="C29">
        <f t="shared" ca="1" si="0"/>
        <v>0.21666767136042006</v>
      </c>
      <c r="F29">
        <f t="shared" ca="1" si="1"/>
        <v>0.80519751504075054</v>
      </c>
      <c r="V29">
        <f t="shared" ca="1" si="2"/>
        <v>2.7755191474924047E-2</v>
      </c>
    </row>
    <row r="30" spans="1:22" x14ac:dyDescent="0.3">
      <c r="A30" t="s">
        <v>172</v>
      </c>
      <c r="B30">
        <f ca="1">'Modello P-C SJF'!$H36</f>
        <v>0.11163250697415447</v>
      </c>
      <c r="C30">
        <f t="shared" ca="1" si="0"/>
        <v>0.21709262836649268</v>
      </c>
      <c r="F30">
        <f t="shared" ca="1" si="1"/>
        <v>0.80485541340985245</v>
      </c>
      <c r="V30">
        <f t="shared" ca="1" si="2"/>
        <v>0.75533588179877842</v>
      </c>
    </row>
    <row r="31" spans="1:22" x14ac:dyDescent="0.3">
      <c r="A31" t="s">
        <v>171</v>
      </c>
      <c r="B31">
        <f ca="1">'Modello P-C SJF'!$H37</f>
        <v>0.32761426824205792</v>
      </c>
      <c r="C31">
        <f t="shared" ca="1" si="0"/>
        <v>0.22292617776071683</v>
      </c>
      <c r="F31">
        <f t="shared" ca="1" si="1"/>
        <v>0.80017391774466862</v>
      </c>
      <c r="H31" t="s">
        <v>256</v>
      </c>
      <c r="K31">
        <f ca="1">E3-((K25/SQRT('Modello P-C SJF'!C5))*J28)</f>
        <v>0.86664273153040683</v>
      </c>
      <c r="M31" t="s">
        <v>258</v>
      </c>
      <c r="P31" t="s">
        <v>256</v>
      </c>
      <c r="R31">
        <f ca="1">Q24/Q26</f>
        <v>0.56201351281084677</v>
      </c>
      <c r="T31" t="s">
        <v>297</v>
      </c>
      <c r="V31">
        <f t="shared" ca="1" si="2"/>
        <v>0.42656423920855296</v>
      </c>
    </row>
    <row r="32" spans="1:22" x14ac:dyDescent="0.3">
      <c r="A32" t="s">
        <v>170</v>
      </c>
      <c r="B32">
        <f ca="1">'Modello P-C SJF'!$H38</f>
        <v>0.34670793164829561</v>
      </c>
      <c r="C32">
        <f t="shared" ca="1" si="0"/>
        <v>0.22752506308065329</v>
      </c>
      <c r="F32">
        <f t="shared" ca="1" si="1"/>
        <v>0.79650245844196865</v>
      </c>
      <c r="H32" t="s">
        <v>257</v>
      </c>
      <c r="K32">
        <f ca="1">E3+((K25/SQRT('Modello P-C SJF'!C5))*J28)</f>
        <v>1.094823515645837</v>
      </c>
      <c r="M32">
        <f>1/E2</f>
        <v>1</v>
      </c>
      <c r="P32" t="s">
        <v>257</v>
      </c>
      <c r="R32">
        <f ca="1">Q24/Q28</f>
        <v>0.83336689849653112</v>
      </c>
      <c r="T32">
        <f>E4-E2^2</f>
        <v>1</v>
      </c>
      <c r="V32">
        <f t="shared" ca="1" si="2"/>
        <v>0.40198794401433358</v>
      </c>
    </row>
    <row r="33" spans="1:22" x14ac:dyDescent="0.3">
      <c r="A33" t="s">
        <v>169</v>
      </c>
      <c r="B33">
        <f ca="1">'Modello P-C SJF'!$H39</f>
        <v>2.3754649172683542</v>
      </c>
      <c r="C33">
        <f t="shared" ca="1" si="0"/>
        <v>0.22762824535217718</v>
      </c>
      <c r="F33">
        <f t="shared" ca="1" si="1"/>
        <v>0.79642027774890045</v>
      </c>
      <c r="V33">
        <f t="shared" ca="1" si="2"/>
        <v>1.9452767763024783</v>
      </c>
    </row>
    <row r="34" spans="1:22" x14ac:dyDescent="0.3">
      <c r="A34" t="s">
        <v>168</v>
      </c>
      <c r="B34">
        <f ca="1">'Modello P-C SJF'!$H40</f>
        <v>2.1887842735422947</v>
      </c>
      <c r="C34">
        <f t="shared" ca="1" si="0"/>
        <v>0.22768448639979968</v>
      </c>
      <c r="F34">
        <f t="shared" ca="1" si="1"/>
        <v>0.79637548749766918</v>
      </c>
      <c r="V34">
        <f t="shared" ca="1" si="2"/>
        <v>1.4593875809055994</v>
      </c>
    </row>
    <row r="35" spans="1:22" x14ac:dyDescent="0.3">
      <c r="A35" t="s">
        <v>167</v>
      </c>
      <c r="B35">
        <f ca="1">'Modello P-C SJF'!$H41</f>
        <v>1.6088468836086005</v>
      </c>
      <c r="C35">
        <f t="shared" ca="1" si="0"/>
        <v>0.23388897604770048</v>
      </c>
      <c r="F35">
        <f t="shared" ca="1" si="1"/>
        <v>0.7914496808895527</v>
      </c>
      <c r="V35">
        <f t="shared" ca="1" si="2"/>
        <v>0.39452689552706338</v>
      </c>
    </row>
    <row r="36" spans="1:22" x14ac:dyDescent="0.3">
      <c r="A36" t="s">
        <v>166</v>
      </c>
      <c r="B36">
        <f ca="1">'Modello P-C SJF'!$H42</f>
        <v>1.9874166350091298</v>
      </c>
      <c r="C36">
        <f t="shared" ca="1" si="0"/>
        <v>0.25116288253052738</v>
      </c>
      <c r="F36">
        <f t="shared" ca="1" si="1"/>
        <v>0.77789565562645691</v>
      </c>
      <c r="J36" s="31" t="s">
        <v>259</v>
      </c>
      <c r="K36" s="2"/>
      <c r="L36" s="31" t="s">
        <v>260</v>
      </c>
      <c r="M36" s="2"/>
      <c r="V36">
        <f t="shared" ca="1" si="2"/>
        <v>1.0134116921669307</v>
      </c>
    </row>
    <row r="37" spans="1:22" x14ac:dyDescent="0.3">
      <c r="A37" t="s">
        <v>165</v>
      </c>
      <c r="B37">
        <f ca="1">'Modello P-C SJF'!$H43</f>
        <v>1.857529160688455</v>
      </c>
      <c r="C37">
        <f t="shared" ca="1" si="0"/>
        <v>0.25395536467794155</v>
      </c>
      <c r="F37">
        <f t="shared" ca="1" si="1"/>
        <v>0.77572642607260001</v>
      </c>
      <c r="J37" s="31" t="s">
        <v>261</v>
      </c>
      <c r="K37" s="31" t="s">
        <v>262</v>
      </c>
      <c r="L37" s="31" t="s">
        <v>261</v>
      </c>
      <c r="M37" s="31" t="s">
        <v>262</v>
      </c>
      <c r="V37">
        <f t="shared" ca="1" si="2"/>
        <v>0.76877129067484862</v>
      </c>
    </row>
    <row r="38" spans="1:22" x14ac:dyDescent="0.3">
      <c r="A38" t="s">
        <v>164</v>
      </c>
      <c r="B38">
        <f ca="1">'Modello P-C SJF'!$H44</f>
        <v>4.8102282695440834</v>
      </c>
      <c r="C38">
        <f t="shared" ca="1" si="0"/>
        <v>0.25906213622385227</v>
      </c>
      <c r="F38">
        <f t="shared" ca="1" si="1"/>
        <v>0.77177506636550819</v>
      </c>
      <c r="J38" s="2">
        <f ca="1">K31</f>
        <v>0.86664273153040683</v>
      </c>
      <c r="K38" s="2">
        <v>0</v>
      </c>
      <c r="L38" s="2">
        <f ca="1">K32</f>
        <v>1.094823515645837</v>
      </c>
      <c r="M38" s="2">
        <v>0</v>
      </c>
      <c r="V38">
        <f t="shared" ca="1" si="2"/>
        <v>14.665033072900272</v>
      </c>
    </row>
    <row r="39" spans="1:22" x14ac:dyDescent="0.3">
      <c r="A39" t="s">
        <v>163</v>
      </c>
      <c r="B39">
        <f ca="1">'Modello P-C SJF'!$H45</f>
        <v>0.14662797683364343</v>
      </c>
      <c r="C39">
        <f t="shared" ca="1" si="0"/>
        <v>0.2615390977573806</v>
      </c>
      <c r="F39">
        <f t="shared" ca="1" si="1"/>
        <v>0.76986577481063245</v>
      </c>
      <c r="J39" s="2">
        <f ca="1">J38</f>
        <v>0.86664273153040683</v>
      </c>
      <c r="K39" s="2">
        <f ca="1">$E$2*EXP(-$E$2*J39)</f>
        <v>0.42036044577282039</v>
      </c>
      <c r="L39" s="2">
        <f ca="1">L38</f>
        <v>1.094823515645837</v>
      </c>
      <c r="M39" s="2">
        <f ca="1">$E$2*EXP(-$E$2*L39)</f>
        <v>0.3345986531652953</v>
      </c>
      <c r="V39">
        <f t="shared" ca="1" si="2"/>
        <v>0.69573139584231003</v>
      </c>
    </row>
    <row r="40" spans="1:22" x14ac:dyDescent="0.3">
      <c r="A40" t="s">
        <v>162</v>
      </c>
      <c r="B40">
        <f ca="1">'Modello P-C SJF'!$H46</f>
        <v>0.56551933956918721</v>
      </c>
      <c r="C40">
        <f t="shared" ca="1" si="0"/>
        <v>0.26274979950784766</v>
      </c>
      <c r="F40">
        <f t="shared" ca="1" si="1"/>
        <v>0.76893426097594397</v>
      </c>
      <c r="J40" s="2"/>
      <c r="K40" s="2"/>
      <c r="L40" s="2"/>
      <c r="M40" s="2"/>
      <c r="V40">
        <f t="shared" ca="1" si="2"/>
        <v>0.17240248643932257</v>
      </c>
    </row>
    <row r="41" spans="1:22" x14ac:dyDescent="0.3">
      <c r="A41" t="s">
        <v>161</v>
      </c>
      <c r="B41">
        <f ca="1">'Modello P-C SJF'!$H47</f>
        <v>1.6607351279033609</v>
      </c>
      <c r="C41">
        <f t="shared" ca="1" si="0"/>
        <v>0.27020458854512203</v>
      </c>
      <c r="F41">
        <f t="shared" ca="1" si="1"/>
        <v>0.76322333161182787</v>
      </c>
      <c r="J41" s="31" t="s">
        <v>263</v>
      </c>
      <c r="K41" s="2"/>
      <c r="L41" s="2"/>
      <c r="M41" s="2"/>
      <c r="V41">
        <f t="shared" ca="1" si="2"/>
        <v>0.46240272587274223</v>
      </c>
    </row>
    <row r="42" spans="1:22" x14ac:dyDescent="0.3">
      <c r="A42" t="s">
        <v>160</v>
      </c>
      <c r="B42">
        <f ca="1">'Modello P-C SJF'!$H48</f>
        <v>0.18595752748526523</v>
      </c>
      <c r="C42">
        <f t="shared" ca="1" si="0"/>
        <v>0.27342230827281999</v>
      </c>
      <c r="F42">
        <f t="shared" ca="1" si="1"/>
        <v>0.76077143970705374</v>
      </c>
      <c r="J42" s="31" t="s">
        <v>261</v>
      </c>
      <c r="K42" s="31" t="s">
        <v>262</v>
      </c>
      <c r="L42" s="2"/>
      <c r="M42" s="2"/>
      <c r="V42">
        <f t="shared" ca="1" si="2"/>
        <v>0.63166824816065115</v>
      </c>
    </row>
    <row r="43" spans="1:22" x14ac:dyDescent="0.3">
      <c r="A43" t="s">
        <v>159</v>
      </c>
      <c r="B43">
        <f ca="1">'Modello P-C SJF'!$H49</f>
        <v>0.61087468676940793</v>
      </c>
      <c r="C43">
        <f t="shared" ca="1" si="0"/>
        <v>0.27935710116008022</v>
      </c>
      <c r="F43">
        <f t="shared" ca="1" si="1"/>
        <v>0.75626979016967366</v>
      </c>
      <c r="J43" s="2">
        <f>M32</f>
        <v>1</v>
      </c>
      <c r="K43" s="2">
        <f>$E$2*EXP(-$E$2*J43)</f>
        <v>0.36787944117144233</v>
      </c>
      <c r="L43" s="2"/>
      <c r="M43" s="2"/>
      <c r="V43">
        <f t="shared" ca="1" si="2"/>
        <v>0.13679526328598265</v>
      </c>
    </row>
    <row r="44" spans="1:22" x14ac:dyDescent="0.3">
      <c r="A44" t="s">
        <v>158</v>
      </c>
      <c r="B44">
        <f ca="1">'Modello P-C SJF'!$H50</f>
        <v>0.40709142507902857</v>
      </c>
      <c r="C44">
        <f t="shared" ca="1" si="0"/>
        <v>0.28026747393597745</v>
      </c>
      <c r="F44">
        <f t="shared" ca="1" si="1"/>
        <v>0.75558161603649632</v>
      </c>
      <c r="V44">
        <f t="shared" ca="1" si="2"/>
        <v>0.32906479826839752</v>
      </c>
    </row>
    <row r="45" spans="1:22" x14ac:dyDescent="0.3">
      <c r="A45" t="s">
        <v>157</v>
      </c>
      <c r="B45">
        <f ca="1">'Modello P-C SJF'!$H51</f>
        <v>1.7473991649057752</v>
      </c>
      <c r="C45">
        <f t="shared" ca="1" si="0"/>
        <v>0.29659849874619648</v>
      </c>
      <c r="F45">
        <f t="shared" ca="1" si="1"/>
        <v>0.74334240536310792</v>
      </c>
      <c r="V45">
        <f t="shared" ca="1" si="2"/>
        <v>0.58777681890968159</v>
      </c>
    </row>
    <row r="46" spans="1:22" x14ac:dyDescent="0.3">
      <c r="A46" t="s">
        <v>156</v>
      </c>
      <c r="B46">
        <f ca="1">'Modello P-C SJF'!$H52</f>
        <v>7.740692396311713E-2</v>
      </c>
      <c r="C46">
        <f t="shared" ca="1" si="0"/>
        <v>0.30786563570205533</v>
      </c>
      <c r="F46">
        <f t="shared" ca="1" si="1"/>
        <v>0.73501407102411298</v>
      </c>
      <c r="V46">
        <f t="shared" ca="1" si="2"/>
        <v>0.81599822292895408</v>
      </c>
    </row>
    <row r="47" spans="1:22" x14ac:dyDescent="0.3">
      <c r="A47" t="s">
        <v>155</v>
      </c>
      <c r="B47">
        <f ca="1">'Modello P-C SJF'!$H53</f>
        <v>0.50741326409748944</v>
      </c>
      <c r="C47">
        <f t="shared" ca="1" si="0"/>
        <v>0.32252470874249445</v>
      </c>
      <c r="F47">
        <f t="shared" ca="1" si="1"/>
        <v>0.72431803459800692</v>
      </c>
      <c r="V47">
        <f t="shared" ca="1" si="2"/>
        <v>0.22403168938823209</v>
      </c>
    </row>
    <row r="48" spans="1:22" x14ac:dyDescent="0.3">
      <c r="A48" t="s">
        <v>154</v>
      </c>
      <c r="B48">
        <f ca="1">'Modello P-C SJF'!$H54</f>
        <v>1.3759039089946299</v>
      </c>
      <c r="C48">
        <f t="shared" ca="1" si="0"/>
        <v>0.32761426824205792</v>
      </c>
      <c r="F48">
        <f t="shared" ca="1" si="1"/>
        <v>0.72064094019718272</v>
      </c>
      <c r="V48">
        <f t="shared" ca="1" si="2"/>
        <v>0.15615994963879637</v>
      </c>
    </row>
    <row r="49" spans="1:22" x14ac:dyDescent="0.3">
      <c r="A49" t="s">
        <v>153</v>
      </c>
      <c r="B49">
        <f ca="1">'Modello P-C SJF'!$H55</f>
        <v>0.44809079404533175</v>
      </c>
      <c r="C49">
        <f t="shared" ca="1" si="0"/>
        <v>0.33265955967271543</v>
      </c>
      <c r="F49">
        <f t="shared" ca="1" si="1"/>
        <v>0.7170142531765944</v>
      </c>
      <c r="V49">
        <f t="shared" ca="1" si="2"/>
        <v>0.28370785122077036</v>
      </c>
    </row>
    <row r="50" spans="1:22" x14ac:dyDescent="0.3">
      <c r="A50" t="s">
        <v>152</v>
      </c>
      <c r="B50">
        <f ca="1">'Modello P-C SJF'!$H56</f>
        <v>1.7393065038129789</v>
      </c>
      <c r="C50">
        <f t="shared" ca="1" si="0"/>
        <v>0.34670793164829561</v>
      </c>
      <c r="F50">
        <f t="shared" ca="1" si="1"/>
        <v>0.70701179387451807</v>
      </c>
      <c r="V50">
        <f t="shared" ca="1" si="2"/>
        <v>0.57543357318576549</v>
      </c>
    </row>
    <row r="51" spans="1:22" x14ac:dyDescent="0.3">
      <c r="A51" t="s">
        <v>151</v>
      </c>
      <c r="B51">
        <f ca="1">'Modello P-C SJF'!$H57</f>
        <v>0.27935710116008022</v>
      </c>
      <c r="C51">
        <f t="shared" ca="1" si="0"/>
        <v>0.34724761527017112</v>
      </c>
      <c r="F51">
        <f t="shared" ca="1" si="1"/>
        <v>0.70663033413193754</v>
      </c>
      <c r="V51">
        <f t="shared" ca="1" si="2"/>
        <v>0.49192832483698079</v>
      </c>
    </row>
    <row r="52" spans="1:22" x14ac:dyDescent="0.3">
      <c r="A52" t="s">
        <v>150</v>
      </c>
      <c r="B52">
        <f ca="1">'Modello P-C SJF'!$H58</f>
        <v>2.5899439098580888</v>
      </c>
      <c r="C52">
        <f t="shared" ca="1" si="0"/>
        <v>0.35297673369632432</v>
      </c>
      <c r="F52">
        <f t="shared" ca="1" si="1"/>
        <v>0.70259353994173956</v>
      </c>
      <c r="V52">
        <f t="shared" ca="1" si="2"/>
        <v>2.589559354647605</v>
      </c>
    </row>
    <row r="53" spans="1:22" x14ac:dyDescent="0.3">
      <c r="A53" t="s">
        <v>149</v>
      </c>
      <c r="B53">
        <f ca="1">'Modello P-C SJF'!$H59</f>
        <v>0.40202999087076841</v>
      </c>
      <c r="C53">
        <f t="shared" ca="1" si="0"/>
        <v>0.36657628848208212</v>
      </c>
      <c r="F53">
        <f t="shared" ca="1" si="1"/>
        <v>0.69310325867006639</v>
      </c>
      <c r="V53">
        <f t="shared" ca="1" si="2"/>
        <v>0.33489731581687887</v>
      </c>
    </row>
    <row r="54" spans="1:22" x14ac:dyDescent="0.3">
      <c r="A54" t="s">
        <v>148</v>
      </c>
      <c r="B54">
        <f ca="1">'Modello P-C SJF'!$H60</f>
        <v>0.84425347379127336</v>
      </c>
      <c r="C54">
        <f t="shared" ca="1" si="0"/>
        <v>0.38460590435169284</v>
      </c>
      <c r="F54">
        <f t="shared" ca="1" si="1"/>
        <v>0.68071885168700952</v>
      </c>
      <c r="V54">
        <f t="shared" ca="1" si="2"/>
        <v>1.8626694808670428E-2</v>
      </c>
    </row>
    <row r="55" spans="1:22" x14ac:dyDescent="0.3">
      <c r="A55" t="s">
        <v>147</v>
      </c>
      <c r="B55">
        <f ca="1">'Modello P-C SJF'!$H61</f>
        <v>0.62084881078203713</v>
      </c>
      <c r="C55">
        <f t="shared" ca="1" si="0"/>
        <v>0.38639622248782279</v>
      </c>
      <c r="F55">
        <f t="shared" ca="1" si="1"/>
        <v>0.67950123866379619</v>
      </c>
      <c r="V55">
        <f t="shared" ca="1" si="2"/>
        <v>0.1295167186039079</v>
      </c>
    </row>
    <row r="56" spans="1:22" x14ac:dyDescent="0.3">
      <c r="A56" t="s">
        <v>146</v>
      </c>
      <c r="B56">
        <f ca="1">'Modello P-C SJF'!$H62</f>
        <v>1.3163468525251425</v>
      </c>
      <c r="C56">
        <f t="shared" ca="1" si="0"/>
        <v>0.3926217788639364</v>
      </c>
      <c r="F56">
        <f t="shared" ca="1" si="1"/>
        <v>0.67528410601385402</v>
      </c>
      <c r="V56">
        <f t="shared" ca="1" si="2"/>
        <v>0.11263657505101192</v>
      </c>
    </row>
    <row r="57" spans="1:22" x14ac:dyDescent="0.3">
      <c r="A57" t="s">
        <v>145</v>
      </c>
      <c r="B57">
        <f ca="1">'Modello P-C SJF'!$H63</f>
        <v>0.67787476029005589</v>
      </c>
      <c r="C57">
        <f t="shared" ca="1" si="0"/>
        <v>0.39298790494010494</v>
      </c>
      <c r="F57">
        <f t="shared" ca="1" si="1"/>
        <v>0.67503691214864148</v>
      </c>
      <c r="V57">
        <f t="shared" ca="1" si="2"/>
        <v>9.1723188219583349E-2</v>
      </c>
    </row>
    <row r="58" spans="1:22" x14ac:dyDescent="0.3">
      <c r="A58" t="s">
        <v>144</v>
      </c>
      <c r="B58">
        <f ca="1">'Modello P-C SJF'!$H64</f>
        <v>1.2034410396654105</v>
      </c>
      <c r="C58">
        <f t="shared" ca="1" si="0"/>
        <v>0.39361924628116685</v>
      </c>
      <c r="F58">
        <f t="shared" ca="1" si="1"/>
        <v>0.67461086794307079</v>
      </c>
      <c r="V58">
        <f t="shared" ca="1" si="2"/>
        <v>4.9598815883488606E-2</v>
      </c>
    </row>
    <row r="59" spans="1:22" x14ac:dyDescent="0.3">
      <c r="A59" t="s">
        <v>143</v>
      </c>
      <c r="B59">
        <f ca="1">'Modello P-C SJF'!$H65</f>
        <v>1.4681589871833611</v>
      </c>
      <c r="C59">
        <f t="shared" ca="1" si="0"/>
        <v>0.39622726834585992</v>
      </c>
      <c r="F59">
        <f t="shared" ca="1" si="1"/>
        <v>0.67285376019823262</v>
      </c>
      <c r="V59">
        <f t="shared" ca="1" si="2"/>
        <v>0.23758397250156474</v>
      </c>
    </row>
    <row r="60" spans="1:22" x14ac:dyDescent="0.3">
      <c r="A60" t="s">
        <v>142</v>
      </c>
      <c r="B60">
        <f ca="1">'Modello P-C SJF'!$H66</f>
        <v>0.93600380123939042</v>
      </c>
      <c r="C60">
        <f t="shared" ca="1" si="0"/>
        <v>0.39773374803050948</v>
      </c>
      <c r="F60">
        <f t="shared" ca="1" si="1"/>
        <v>0.67184088280891774</v>
      </c>
      <c r="V60">
        <f t="shared" ca="1" si="2"/>
        <v>2.0007122777767317E-3</v>
      </c>
    </row>
    <row r="61" spans="1:22" x14ac:dyDescent="0.3">
      <c r="A61" t="s">
        <v>141</v>
      </c>
      <c r="B61">
        <f ca="1">'Modello P-C SJF'!$H67</f>
        <v>0.45510364499736983</v>
      </c>
      <c r="C61">
        <f t="shared" ca="1" si="0"/>
        <v>0.40202999087076841</v>
      </c>
      <c r="F61">
        <f t="shared" ca="1" si="1"/>
        <v>0.66896068267611131</v>
      </c>
      <c r="V61">
        <f t="shared" ca="1" si="2"/>
        <v>0.27628634876358588</v>
      </c>
    </row>
    <row r="62" spans="1:22" x14ac:dyDescent="0.3">
      <c r="A62" t="s">
        <v>140</v>
      </c>
      <c r="B62">
        <f ca="1">'Modello P-C SJF'!$H68</f>
        <v>0.14448138313101799</v>
      </c>
      <c r="C62">
        <f t="shared" ca="1" si="0"/>
        <v>0.40709142507902857</v>
      </c>
      <c r="F62">
        <f t="shared" ca="1" si="1"/>
        <v>0.66558333651064172</v>
      </c>
      <c r="V62">
        <f t="shared" ca="1" si="2"/>
        <v>0.69931697341753551</v>
      </c>
    </row>
    <row r="63" spans="1:22" x14ac:dyDescent="0.3">
      <c r="A63" t="s">
        <v>139</v>
      </c>
      <c r="B63">
        <f ca="1">'Modello P-C SJF'!$H69</f>
        <v>0.80604538089549072</v>
      </c>
      <c r="C63">
        <f t="shared" ca="1" si="0"/>
        <v>0.42178072712672238</v>
      </c>
      <c r="F63">
        <f t="shared" ca="1" si="1"/>
        <v>0.65587783984555847</v>
      </c>
      <c r="V63">
        <f t="shared" ca="1" si="2"/>
        <v>3.051580744704693E-2</v>
      </c>
    </row>
    <row r="64" spans="1:22" x14ac:dyDescent="0.3">
      <c r="A64" t="s">
        <v>138</v>
      </c>
      <c r="B64">
        <f ca="1">'Modello P-C SJF'!$H70</f>
        <v>0.77834017895972951</v>
      </c>
      <c r="C64">
        <f t="shared" ca="1" si="0"/>
        <v>0.42337468621590929</v>
      </c>
      <c r="F64">
        <f t="shared" ca="1" si="1"/>
        <v>0.65483323015506623</v>
      </c>
      <c r="V64">
        <f t="shared" ca="1" si="2"/>
        <v>4.0962904035351515E-2</v>
      </c>
    </row>
    <row r="65" spans="1:22" x14ac:dyDescent="0.3">
      <c r="A65" t="s">
        <v>137</v>
      </c>
      <c r="B65">
        <f ca="1">'Modello P-C SJF'!$H71</f>
        <v>0.29659849874619648</v>
      </c>
      <c r="C65">
        <f t="shared" ca="1" si="0"/>
        <v>0.42761250200484302</v>
      </c>
      <c r="F65">
        <f t="shared" ca="1" si="1"/>
        <v>0.6520640393577809</v>
      </c>
      <c r="V65">
        <f t="shared" ca="1" si="2"/>
        <v>0.46804018490760207</v>
      </c>
    </row>
    <row r="66" spans="1:22" x14ac:dyDescent="0.3">
      <c r="A66" t="s">
        <v>136</v>
      </c>
      <c r="B66">
        <f ca="1">'Modello P-C SJF'!$H72</f>
        <v>1.9812820124167139</v>
      </c>
      <c r="C66">
        <f t="shared" ca="1" si="0"/>
        <v>0.42993066579796274</v>
      </c>
      <c r="F66">
        <f t="shared" ca="1" si="1"/>
        <v>0.65055419881592724</v>
      </c>
      <c r="V66">
        <f t="shared" ca="1" si="2"/>
        <v>1.0010980789361299</v>
      </c>
    </row>
    <row r="67" spans="1:22" x14ac:dyDescent="0.3">
      <c r="A67" t="s">
        <v>135</v>
      </c>
      <c r="B67">
        <f ca="1">'Modello P-C SJF'!$H73</f>
        <v>0.23388897604770048</v>
      </c>
      <c r="C67">
        <f t="shared" ref="C67:C130" ca="1" si="3">SMALL($B$3:$B$202, ROW(A65))</f>
        <v>0.43803895225735318</v>
      </c>
      <c r="F67">
        <f t="shared" ref="F67:F130" ca="1" si="4">$E$2*EXP(-$E$2*$C67)</f>
        <v>0.64530064645088714</v>
      </c>
      <c r="V67">
        <f t="shared" ref="V67:V130" ca="1" si="5">($B67-$E$3)^2</f>
        <v>0.55777618071537882</v>
      </c>
    </row>
    <row r="68" spans="1:22" x14ac:dyDescent="0.3">
      <c r="A68" t="s">
        <v>134</v>
      </c>
      <c r="B68">
        <f ca="1">'Modello P-C SJF'!$H74</f>
        <v>0.27020458854512203</v>
      </c>
      <c r="C68">
        <f t="shared" ca="1" si="3"/>
        <v>0.44809079404533175</v>
      </c>
      <c r="F68">
        <f t="shared" ca="1" si="4"/>
        <v>0.63884667792441596</v>
      </c>
      <c r="V68">
        <f t="shared" ca="1" si="5"/>
        <v>0.50485079911035158</v>
      </c>
    </row>
    <row r="69" spans="1:22" x14ac:dyDescent="0.3">
      <c r="A69" t="s">
        <v>133</v>
      </c>
      <c r="B69">
        <f ca="1">'Modello P-C SJF'!$H75</f>
        <v>1.1215925685252424</v>
      </c>
      <c r="C69">
        <f t="shared" ca="1" si="3"/>
        <v>0.45510364499736983</v>
      </c>
      <c r="F69">
        <f t="shared" ca="1" si="4"/>
        <v>0.63438221399785177</v>
      </c>
      <c r="V69">
        <f t="shared" ca="1" si="5"/>
        <v>1.9841383227993663E-2</v>
      </c>
    </row>
    <row r="70" spans="1:22" x14ac:dyDescent="0.3">
      <c r="A70" t="s">
        <v>132</v>
      </c>
      <c r="B70">
        <f ca="1">'Modello P-C SJF'!$H76</f>
        <v>0.20230957557635465</v>
      </c>
      <c r="C70">
        <f t="shared" ca="1" si="3"/>
        <v>0.47142259276653742</v>
      </c>
      <c r="F70">
        <f t="shared" ca="1" si="4"/>
        <v>0.62411377670745827</v>
      </c>
      <c r="V70">
        <f t="shared" ca="1" si="5"/>
        <v>0.60594322009922819</v>
      </c>
    </row>
    <row r="71" spans="1:22" x14ac:dyDescent="0.3">
      <c r="A71" t="s">
        <v>131</v>
      </c>
      <c r="B71">
        <f ca="1">'Modello P-C SJF'!$H77</f>
        <v>0.21666767136042006</v>
      </c>
      <c r="C71">
        <f t="shared" ca="1" si="3"/>
        <v>0.47569545572107241</v>
      </c>
      <c r="F71">
        <f t="shared" ca="1" si="4"/>
        <v>0.62145271329984142</v>
      </c>
      <c r="V71">
        <f t="shared" ca="1" si="5"/>
        <v>0.58379601528792247</v>
      </c>
    </row>
    <row r="72" spans="1:22" x14ac:dyDescent="0.3">
      <c r="A72" t="s">
        <v>130</v>
      </c>
      <c r="B72">
        <f ca="1">'Modello P-C SJF'!$H78</f>
        <v>0.7387924305032465</v>
      </c>
      <c r="C72">
        <f t="shared" ca="1" si="3"/>
        <v>0.47594504162110124</v>
      </c>
      <c r="F72">
        <f t="shared" ca="1" si="4"/>
        <v>0.62129762681957157</v>
      </c>
      <c r="V72">
        <f t="shared" ca="1" si="5"/>
        <v>5.8535298970389886E-2</v>
      </c>
    </row>
    <row r="73" spans="1:22" x14ac:dyDescent="0.3">
      <c r="A73" t="s">
        <v>129</v>
      </c>
      <c r="B73">
        <f ca="1">'Modello P-C SJF'!$H79</f>
        <v>0.57172686259419081</v>
      </c>
      <c r="C73">
        <f t="shared" ca="1" si="3"/>
        <v>0.48171789499664136</v>
      </c>
      <c r="F73">
        <f t="shared" ca="1" si="4"/>
        <v>0.61772129945611998</v>
      </c>
      <c r="V73">
        <f t="shared" ca="1" si="5"/>
        <v>0.16728612153223571</v>
      </c>
    </row>
    <row r="74" spans="1:22" x14ac:dyDescent="0.3">
      <c r="A74" t="s">
        <v>128</v>
      </c>
      <c r="B74">
        <f ca="1">'Modello P-C SJF'!$H80</f>
        <v>2.3127147405896107</v>
      </c>
      <c r="C74">
        <f t="shared" ca="1" si="3"/>
        <v>0.49414047644125247</v>
      </c>
      <c r="F74">
        <f t="shared" ca="1" si="4"/>
        <v>0.61009507308600974</v>
      </c>
      <c r="V74">
        <f t="shared" ca="1" si="5"/>
        <v>1.7741750280299009</v>
      </c>
    </row>
    <row r="75" spans="1:22" x14ac:dyDescent="0.3">
      <c r="A75" t="s">
        <v>127</v>
      </c>
      <c r="B75">
        <f ca="1">'Modello P-C SJF'!$H81</f>
        <v>0.87807723273978844</v>
      </c>
      <c r="C75">
        <f t="shared" ca="1" si="3"/>
        <v>0.50096267837803343</v>
      </c>
      <c r="F75">
        <f t="shared" ca="1" si="4"/>
        <v>0.60594704672178934</v>
      </c>
      <c r="V75">
        <f t="shared" ca="1" si="5"/>
        <v>1.053823192586496E-2</v>
      </c>
    </row>
    <row r="76" spans="1:22" x14ac:dyDescent="0.3">
      <c r="A76" t="s">
        <v>126</v>
      </c>
      <c r="B76">
        <f ca="1">'Modello P-C SJF'!$H82</f>
        <v>1.4280958233570746</v>
      </c>
      <c r="C76">
        <f t="shared" ca="1" si="3"/>
        <v>0.50741326409748944</v>
      </c>
      <c r="F76">
        <f t="shared" ca="1" si="4"/>
        <v>0.60205091303746427</v>
      </c>
      <c r="V76">
        <f t="shared" ca="1" si="5"/>
        <v>0.20013338514456613</v>
      </c>
    </row>
    <row r="77" spans="1:22" x14ac:dyDescent="0.3">
      <c r="A77" t="s">
        <v>125</v>
      </c>
      <c r="B77">
        <f ca="1">'Modello P-C SJF'!$H83</f>
        <v>9.270726077438271E-2</v>
      </c>
      <c r="C77">
        <f t="shared" ca="1" si="3"/>
        <v>0.51213387832869683</v>
      </c>
      <c r="F77">
        <f t="shared" ca="1" si="4"/>
        <v>0.5992155604975381</v>
      </c>
      <c r="V77">
        <f t="shared" ca="1" si="5"/>
        <v>0.78858993302608593</v>
      </c>
    </row>
    <row r="78" spans="1:22" x14ac:dyDescent="0.3">
      <c r="A78" t="s">
        <v>124</v>
      </c>
      <c r="B78">
        <f ca="1">'Modello P-C SJF'!$H84</f>
        <v>1.4757579338892839</v>
      </c>
      <c r="C78">
        <f t="shared" ca="1" si="3"/>
        <v>0.51385148228406696</v>
      </c>
      <c r="F78">
        <f t="shared" ca="1" si="4"/>
        <v>0.59818722886675857</v>
      </c>
      <c r="V78">
        <f t="shared" ca="1" si="5"/>
        <v>0.24504956281370138</v>
      </c>
    </row>
    <row r="79" spans="1:22" x14ac:dyDescent="0.3">
      <c r="A79" t="s">
        <v>123</v>
      </c>
      <c r="B79">
        <f ca="1">'Modello P-C SJF'!$H85</f>
        <v>0.50096267837803343</v>
      </c>
      <c r="C79">
        <f t="shared" ca="1" si="3"/>
        <v>0.52344199625378851</v>
      </c>
      <c r="F79">
        <f t="shared" ca="1" si="4"/>
        <v>0.59247772817714905</v>
      </c>
      <c r="V79">
        <f t="shared" ca="1" si="5"/>
        <v>0.23017968009708653</v>
      </c>
    </row>
    <row r="80" spans="1:22" x14ac:dyDescent="0.3">
      <c r="A80" t="s">
        <v>122</v>
      </c>
      <c r="B80">
        <f ca="1">'Modello P-C SJF'!$H86</f>
        <v>0.39622726834585992</v>
      </c>
      <c r="C80">
        <f t="shared" ca="1" si="3"/>
        <v>0.52440894784729186</v>
      </c>
      <c r="F80">
        <f t="shared" ca="1" si="4"/>
        <v>0.59190510778648897</v>
      </c>
      <c r="V80">
        <f t="shared" ca="1" si="5"/>
        <v>0.34164709481248806</v>
      </c>
    </row>
    <row r="81" spans="1:22" x14ac:dyDescent="0.3">
      <c r="A81" t="s">
        <v>121</v>
      </c>
      <c r="B81">
        <f ca="1">'Modello P-C SJF'!$H87</f>
        <v>1.1453582220895058</v>
      </c>
      <c r="C81">
        <f t="shared" ca="1" si="3"/>
        <v>0.54405768511585817</v>
      </c>
      <c r="F81">
        <f t="shared" ca="1" si="4"/>
        <v>0.5803884344010003</v>
      </c>
      <c r="V81">
        <f t="shared" ca="1" si="5"/>
        <v>2.7101423056590336E-2</v>
      </c>
    </row>
    <row r="82" spans="1:22" x14ac:dyDescent="0.3">
      <c r="A82" t="s">
        <v>120</v>
      </c>
      <c r="B82">
        <f ca="1">'Modello P-C SJF'!$H88</f>
        <v>1.1174234529762892</v>
      </c>
      <c r="C82">
        <f t="shared" ca="1" si="3"/>
        <v>0.55411814949693328</v>
      </c>
      <c r="F82">
        <f t="shared" ca="1" si="4"/>
        <v>0.57457873039100404</v>
      </c>
      <c r="V82">
        <f t="shared" ca="1" si="5"/>
        <v>1.8684246148245667E-2</v>
      </c>
    </row>
    <row r="83" spans="1:22" x14ac:dyDescent="0.3">
      <c r="A83" t="s">
        <v>119</v>
      </c>
      <c r="B83">
        <f ca="1">'Modello P-C SJF'!$H89</f>
        <v>5.8647842154474036E-2</v>
      </c>
      <c r="C83">
        <f t="shared" ca="1" si="3"/>
        <v>0.56139483724905082</v>
      </c>
      <c r="F83">
        <f t="shared" ca="1" si="4"/>
        <v>0.5704128755751805</v>
      </c>
      <c r="V83">
        <f t="shared" ca="1" si="5"/>
        <v>0.85024126623656959</v>
      </c>
    </row>
    <row r="84" spans="1:22" x14ac:dyDescent="0.3">
      <c r="A84" t="s">
        <v>118</v>
      </c>
      <c r="B84">
        <f ca="1">'Modello P-C SJF'!$H90</f>
        <v>0.32252470874249445</v>
      </c>
      <c r="C84">
        <f t="shared" ca="1" si="3"/>
        <v>0.56551933956918721</v>
      </c>
      <c r="F84">
        <f t="shared" ca="1" si="4"/>
        <v>0.56806505147774056</v>
      </c>
      <c r="V84">
        <f t="shared" ca="1" si="5"/>
        <v>0.4332383173735937</v>
      </c>
    </row>
    <row r="85" spans="1:22" x14ac:dyDescent="0.3">
      <c r="A85" t="s">
        <v>117</v>
      </c>
      <c r="B85">
        <f ca="1">'Modello P-C SJF'!$H91</f>
        <v>2.0538831283705141</v>
      </c>
      <c r="C85">
        <f t="shared" ca="1" si="3"/>
        <v>0.57172686259419081</v>
      </c>
      <c r="F85">
        <f t="shared" ca="1" si="4"/>
        <v>0.56454969670203836</v>
      </c>
      <c r="V85">
        <f t="shared" ca="1" si="5"/>
        <v>1.1516509327644486</v>
      </c>
    </row>
    <row r="86" spans="1:22" x14ac:dyDescent="0.3">
      <c r="A86" t="s">
        <v>116</v>
      </c>
      <c r="B86">
        <f ca="1">'Modello P-C SJF'!$H92</f>
        <v>0.17310088356607456</v>
      </c>
      <c r="C86">
        <f t="shared" ca="1" si="3"/>
        <v>0.6103188125865765</v>
      </c>
      <c r="F86">
        <f t="shared" ca="1" si="4"/>
        <v>0.54317766958906655</v>
      </c>
      <c r="V86">
        <f t="shared" ca="1" si="5"/>
        <v>0.65226983512302994</v>
      </c>
    </row>
    <row r="87" spans="1:22" x14ac:dyDescent="0.3">
      <c r="A87" t="s">
        <v>115</v>
      </c>
      <c r="B87">
        <f ca="1">'Modello P-C SJF'!$H93</f>
        <v>0.70750704145045384</v>
      </c>
      <c r="C87">
        <f t="shared" ca="1" si="3"/>
        <v>0.61087468676940793</v>
      </c>
      <c r="F87">
        <f t="shared" ca="1" si="4"/>
        <v>0.54287581505019666</v>
      </c>
      <c r="V87">
        <f t="shared" ca="1" si="5"/>
        <v>7.4652491960299744E-2</v>
      </c>
    </row>
    <row r="88" spans="1:22" x14ac:dyDescent="0.3">
      <c r="A88" t="s">
        <v>114</v>
      </c>
      <c r="B88">
        <f ca="1">'Modello P-C SJF'!$H94</f>
        <v>0.89645019346372612</v>
      </c>
      <c r="C88">
        <f t="shared" ca="1" si="3"/>
        <v>0.61608449825234102</v>
      </c>
      <c r="F88">
        <f t="shared" ca="1" si="4"/>
        <v>0.54005488902204202</v>
      </c>
      <c r="V88">
        <f t="shared" ca="1" si="5"/>
        <v>7.1036123103537857E-3</v>
      </c>
    </row>
    <row r="89" spans="1:22" x14ac:dyDescent="0.3">
      <c r="A89" t="s">
        <v>113</v>
      </c>
      <c r="B89">
        <f ca="1">'Modello P-C SJF'!$H95</f>
        <v>0.88491062821175648</v>
      </c>
      <c r="C89">
        <f t="shared" ca="1" si="3"/>
        <v>0.62084881078203713</v>
      </c>
      <c r="F89">
        <f t="shared" ca="1" si="4"/>
        <v>0.53748801829012405</v>
      </c>
      <c r="V89">
        <f t="shared" ca="1" si="5"/>
        <v>9.1819506201535773E-3</v>
      </c>
    </row>
    <row r="90" spans="1:22" x14ac:dyDescent="0.3">
      <c r="A90" t="s">
        <v>112</v>
      </c>
      <c r="B90">
        <f ca="1">'Modello P-C SJF'!$H96</f>
        <v>1.1017686797092123</v>
      </c>
      <c r="C90">
        <f t="shared" ca="1" si="3"/>
        <v>0.63122735479312486</v>
      </c>
      <c r="F90">
        <f t="shared" ca="1" si="4"/>
        <v>0.53193852289117383</v>
      </c>
      <c r="V90">
        <f t="shared" ca="1" si="5"/>
        <v>1.4649605845541624E-2</v>
      </c>
    </row>
    <row r="91" spans="1:22" x14ac:dyDescent="0.3">
      <c r="A91" t="s">
        <v>111</v>
      </c>
      <c r="B91">
        <f ca="1">'Modello P-C SJF'!$H97</f>
        <v>0.61608449825234102</v>
      </c>
      <c r="C91">
        <f t="shared" ca="1" si="3"/>
        <v>0.64832377997138779</v>
      </c>
      <c r="F91">
        <f t="shared" ca="1" si="4"/>
        <v>0.52292157415738205</v>
      </c>
      <c r="V91">
        <f t="shared" ca="1" si="5"/>
        <v>0.13296861995927473</v>
      </c>
    </row>
    <row r="92" spans="1:22" x14ac:dyDescent="0.3">
      <c r="A92" t="s">
        <v>110</v>
      </c>
      <c r="B92">
        <f ca="1">'Modello P-C SJF'!$H98</f>
        <v>1.8106271420455988</v>
      </c>
      <c r="C92">
        <f t="shared" ca="1" si="3"/>
        <v>0.65332061875684122</v>
      </c>
      <c r="F92">
        <f t="shared" ca="1" si="4"/>
        <v>0.52031513675085606</v>
      </c>
      <c r="V92">
        <f t="shared" ca="1" si="5"/>
        <v>0.68872408187149903</v>
      </c>
    </row>
    <row r="93" spans="1:22" x14ac:dyDescent="0.3">
      <c r="A93" t="s">
        <v>109</v>
      </c>
      <c r="B93">
        <f ca="1">'Modello P-C SJF'!$H99</f>
        <v>1.6816186057587581</v>
      </c>
      <c r="C93">
        <f t="shared" ca="1" si="3"/>
        <v>0.66596535845418936</v>
      </c>
      <c r="F93">
        <f t="shared" ca="1" si="4"/>
        <v>0.51377730896191098</v>
      </c>
      <c r="V93">
        <f t="shared" ca="1" si="5"/>
        <v>0.49124045911756514</v>
      </c>
    </row>
    <row r="94" spans="1:22" x14ac:dyDescent="0.3">
      <c r="A94" t="s">
        <v>108</v>
      </c>
      <c r="B94">
        <f ca="1">'Modello P-C SJF'!$H100</f>
        <v>0.25906213622385227</v>
      </c>
      <c r="C94">
        <f t="shared" ca="1" si="3"/>
        <v>0.67787476029005589</v>
      </c>
      <c r="F94">
        <f t="shared" ca="1" si="4"/>
        <v>0.50769481983068188</v>
      </c>
      <c r="V94">
        <f t="shared" ca="1" si="5"/>
        <v>0.52080901400331991</v>
      </c>
    </row>
    <row r="95" spans="1:22" x14ac:dyDescent="0.3">
      <c r="A95" t="s">
        <v>107</v>
      </c>
      <c r="B95">
        <f ca="1">'Modello P-C SJF'!$H101</f>
        <v>2.2371509477525873</v>
      </c>
      <c r="C95">
        <f t="shared" ca="1" si="3"/>
        <v>0.70750704145045384</v>
      </c>
      <c r="F95">
        <f t="shared" ca="1" si="4"/>
        <v>0.49287137508227202</v>
      </c>
      <c r="V95">
        <f t="shared" ca="1" si="5"/>
        <v>1.5785857488781696</v>
      </c>
    </row>
    <row r="96" spans="1:22" x14ac:dyDescent="0.3">
      <c r="A96" t="s">
        <v>106</v>
      </c>
      <c r="B96">
        <f ca="1">'Modello P-C SJF'!$H102</f>
        <v>0.99609860400104311</v>
      </c>
      <c r="C96">
        <f t="shared" ca="1" si="3"/>
        <v>0.7201403378403276</v>
      </c>
      <c r="F96">
        <f t="shared" ca="1" si="4"/>
        <v>0.48668395099259354</v>
      </c>
      <c r="V96">
        <f t="shared" ca="1" si="5"/>
        <v>2.3609798831986456E-4</v>
      </c>
    </row>
    <row r="97" spans="1:22" x14ac:dyDescent="0.3">
      <c r="A97" t="s">
        <v>105</v>
      </c>
      <c r="B97">
        <f ca="1">'Modello P-C SJF'!$H103</f>
        <v>1.3055841162507651</v>
      </c>
      <c r="C97">
        <f t="shared" ca="1" si="3"/>
        <v>0.7387924305032465</v>
      </c>
      <c r="F97">
        <f t="shared" ca="1" si="4"/>
        <v>0.47769041174146454</v>
      </c>
      <c r="V97">
        <f t="shared" ca="1" si="5"/>
        <v>0.10552816743390464</v>
      </c>
    </row>
    <row r="98" spans="1:22" x14ac:dyDescent="0.3">
      <c r="A98" t="s">
        <v>104</v>
      </c>
      <c r="B98">
        <f ca="1">'Modello P-C SJF'!$H104</f>
        <v>0.19584486044246857</v>
      </c>
      <c r="C98">
        <f t="shared" ca="1" si="3"/>
        <v>0.73969720986086163</v>
      </c>
      <c r="F98">
        <f t="shared" ca="1" si="4"/>
        <v>0.4772584027834551</v>
      </c>
      <c r="V98">
        <f t="shared" ca="1" si="5"/>
        <v>0.6160495856238003</v>
      </c>
    </row>
    <row r="99" spans="1:22" x14ac:dyDescent="0.3">
      <c r="A99" t="s">
        <v>103</v>
      </c>
      <c r="B99">
        <f ca="1">'Modello P-C SJF'!$H105</f>
        <v>1.8395673983702259</v>
      </c>
      <c r="C99">
        <f t="shared" ca="1" si="3"/>
        <v>0.74722185547624431</v>
      </c>
      <c r="F99">
        <f t="shared" ca="1" si="4"/>
        <v>0.47368067986504192</v>
      </c>
      <c r="V99">
        <f t="shared" ca="1" si="5"/>
        <v>0.73759631154050243</v>
      </c>
    </row>
    <row r="100" spans="1:22" x14ac:dyDescent="0.3">
      <c r="A100" t="s">
        <v>102</v>
      </c>
      <c r="B100">
        <f ca="1">'Modello P-C SJF'!$H106</f>
        <v>1.9843495105408853</v>
      </c>
      <c r="C100">
        <f t="shared" ca="1" si="3"/>
        <v>0.76340059201566912</v>
      </c>
      <c r="F100">
        <f t="shared" ca="1" si="4"/>
        <v>0.46607878528307339</v>
      </c>
      <c r="V100">
        <f t="shared" ca="1" si="5"/>
        <v>1.0072458521601186</v>
      </c>
    </row>
    <row r="101" spans="1:22" x14ac:dyDescent="0.3">
      <c r="A101" t="s">
        <v>101</v>
      </c>
      <c r="B101">
        <f ca="1">'Modello P-C SJF'!$H107</f>
        <v>0.81604938688486539</v>
      </c>
      <c r="C101">
        <f t="shared" ca="1" si="3"/>
        <v>0.76511501281285277</v>
      </c>
      <c r="F101">
        <f t="shared" ca="1" si="4"/>
        <v>0.46528041468758452</v>
      </c>
      <c r="V101">
        <f t="shared" ca="1" si="5"/>
        <v>2.7120733134547523E-2</v>
      </c>
    </row>
    <row r="102" spans="1:22" x14ac:dyDescent="0.3">
      <c r="A102" t="s">
        <v>100</v>
      </c>
      <c r="B102">
        <f ca="1">'Modello P-C SJF'!$H108</f>
        <v>2.1983776539168889</v>
      </c>
      <c r="C102">
        <f t="shared" ca="1" si="3"/>
        <v>0.77587857242956171</v>
      </c>
      <c r="F102">
        <f t="shared" ca="1" si="4"/>
        <v>0.46029919711293366</v>
      </c>
      <c r="V102">
        <f t="shared" ca="1" si="5"/>
        <v>1.4826582022395638</v>
      </c>
    </row>
    <row r="103" spans="1:22" x14ac:dyDescent="0.3">
      <c r="A103" t="s">
        <v>99</v>
      </c>
      <c r="B103">
        <f ca="1">'Modello P-C SJF'!$H109</f>
        <v>0.36657628848208212</v>
      </c>
      <c r="C103">
        <f t="shared" ca="1" si="3"/>
        <v>0.77825148597675176</v>
      </c>
      <c r="F103">
        <f t="shared" ca="1" si="4"/>
        <v>0.45920824179557479</v>
      </c>
      <c r="V103">
        <f t="shared" ca="1" si="5"/>
        <v>0.37718861810746734</v>
      </c>
    </row>
    <row r="104" spans="1:22" x14ac:dyDescent="0.3">
      <c r="A104" t="s">
        <v>98</v>
      </c>
      <c r="B104">
        <f ca="1">'Modello P-C SJF'!$H110</f>
        <v>0.77587857242956171</v>
      </c>
      <c r="C104">
        <f t="shared" ca="1" si="3"/>
        <v>0.77834017895972951</v>
      </c>
      <c r="F104">
        <f t="shared" ca="1" si="4"/>
        <v>0.45916751505291681</v>
      </c>
      <c r="V104">
        <f t="shared" ca="1" si="5"/>
        <v>4.1965387130375162E-2</v>
      </c>
    </row>
    <row r="105" spans="1:22" x14ac:dyDescent="0.3">
      <c r="A105" t="s">
        <v>97</v>
      </c>
      <c r="B105">
        <f ca="1">'Modello P-C SJF'!$H111</f>
        <v>0.42993066579796274</v>
      </c>
      <c r="C105">
        <f t="shared" ca="1" si="3"/>
        <v>0.78153818504112516</v>
      </c>
      <c r="F105">
        <f t="shared" ca="1" si="4"/>
        <v>0.4577014400552693</v>
      </c>
      <c r="V105">
        <f t="shared" ca="1" si="5"/>
        <v>0.30338334750768003</v>
      </c>
    </row>
    <row r="106" spans="1:22" x14ac:dyDescent="0.3">
      <c r="A106" t="s">
        <v>96</v>
      </c>
      <c r="B106">
        <f ca="1">'Modello P-C SJF'!$H112</f>
        <v>0.73969720986086163</v>
      </c>
      <c r="C106">
        <f t="shared" ca="1" si="3"/>
        <v>0.80604538089549072</v>
      </c>
      <c r="F106">
        <f t="shared" ca="1" si="4"/>
        <v>0.44662079359080831</v>
      </c>
      <c r="V106">
        <f t="shared" ca="1" si="5"/>
        <v>5.8098311706335268E-2</v>
      </c>
    </row>
    <row r="107" spans="1:22" x14ac:dyDescent="0.3">
      <c r="A107" t="s">
        <v>95</v>
      </c>
      <c r="B107">
        <f ca="1">'Modello P-C SJF'!$H113</f>
        <v>0.94344328207957751</v>
      </c>
      <c r="C107">
        <f t="shared" ca="1" si="3"/>
        <v>0.81347086781261568</v>
      </c>
      <c r="F107">
        <f t="shared" ca="1" si="4"/>
        <v>0.44331669916774902</v>
      </c>
      <c r="V107">
        <f t="shared" ca="1" si="5"/>
        <v>1.3905322797323624E-3</v>
      </c>
    </row>
    <row r="108" spans="1:22" x14ac:dyDescent="0.3">
      <c r="A108" t="s">
        <v>94</v>
      </c>
      <c r="B108">
        <f ca="1">'Modello P-C SJF'!$H114</f>
        <v>0.28026747393597745</v>
      </c>
      <c r="C108">
        <f t="shared" ca="1" si="3"/>
        <v>0.81413422960942816</v>
      </c>
      <c r="F108">
        <f t="shared" ca="1" si="4"/>
        <v>0.44302271732457454</v>
      </c>
      <c r="V108">
        <f t="shared" ca="1" si="5"/>
        <v>0.49065212634260075</v>
      </c>
    </row>
    <row r="109" spans="1:22" x14ac:dyDescent="0.3">
      <c r="A109" t="s">
        <v>93</v>
      </c>
      <c r="B109">
        <f ca="1">'Modello P-C SJF'!$H115</f>
        <v>0.13699412247287826</v>
      </c>
      <c r="C109">
        <f t="shared" ca="1" si="3"/>
        <v>0.81604938688486539</v>
      </c>
      <c r="F109">
        <f t="shared" ca="1" si="4"/>
        <v>0.44217507109131671</v>
      </c>
      <c r="V109">
        <f t="shared" ca="1" si="5"/>
        <v>0.71189550200294915</v>
      </c>
    </row>
    <row r="110" spans="1:22" x14ac:dyDescent="0.3">
      <c r="A110" t="s">
        <v>92</v>
      </c>
      <c r="B110">
        <f ca="1">'Modello P-C SJF'!$H116</f>
        <v>0.27342230827281999</v>
      </c>
      <c r="C110">
        <f t="shared" ca="1" si="3"/>
        <v>0.81883961366251901</v>
      </c>
      <c r="F110">
        <f t="shared" ca="1" si="4"/>
        <v>0.4409430220150381</v>
      </c>
      <c r="V110">
        <f t="shared" ca="1" si="5"/>
        <v>0.50028858946199717</v>
      </c>
    </row>
    <row r="111" spans="1:22" x14ac:dyDescent="0.3">
      <c r="A111" t="s">
        <v>91</v>
      </c>
      <c r="B111">
        <f ca="1">'Modello P-C SJF'!$H117</f>
        <v>2.054508666810162</v>
      </c>
      <c r="C111">
        <f t="shared" ca="1" si="3"/>
        <v>0.8390584427225708</v>
      </c>
      <c r="F111">
        <f t="shared" ca="1" si="4"/>
        <v>0.43211719503641893</v>
      </c>
      <c r="V111">
        <f t="shared" ca="1" si="5"/>
        <v>1.1529939172217873</v>
      </c>
    </row>
    <row r="112" spans="1:22" x14ac:dyDescent="0.3">
      <c r="A112" t="s">
        <v>90</v>
      </c>
      <c r="B112">
        <f ca="1">'Modello P-C SJF'!$H118</f>
        <v>4.5659183442442561</v>
      </c>
      <c r="C112">
        <f t="shared" ca="1" si="3"/>
        <v>0.84425347379127336</v>
      </c>
      <c r="F112">
        <f t="shared" ca="1" si="4"/>
        <v>0.42987815376304023</v>
      </c>
      <c r="V112">
        <f t="shared" ca="1" si="5"/>
        <v>12.853553066411175</v>
      </c>
    </row>
    <row r="113" spans="1:22" x14ac:dyDescent="0.3">
      <c r="A113" t="s">
        <v>89</v>
      </c>
      <c r="B113">
        <f ca="1">'Modello P-C SJF'!$H119</f>
        <v>2.0555499637274313</v>
      </c>
      <c r="C113">
        <f t="shared" ca="1" si="3"/>
        <v>0.84542814373460373</v>
      </c>
      <c r="F113">
        <f t="shared" ca="1" si="4"/>
        <v>0.42937348528399782</v>
      </c>
      <c r="V113">
        <f t="shared" ca="1" si="5"/>
        <v>1.1552312398470499</v>
      </c>
    </row>
    <row r="114" spans="1:22" x14ac:dyDescent="0.3">
      <c r="A114" t="s">
        <v>88</v>
      </c>
      <c r="B114">
        <f ca="1">'Modello P-C SJF'!$H120</f>
        <v>1.8808025416528642</v>
      </c>
      <c r="C114">
        <f t="shared" ca="1" si="3"/>
        <v>0.84999755760170759</v>
      </c>
      <c r="F114">
        <f t="shared" ca="1" si="4"/>
        <v>0.42741597586750146</v>
      </c>
      <c r="V114">
        <f t="shared" ca="1" si="5"/>
        <v>0.81012495733540379</v>
      </c>
    </row>
    <row r="115" spans="1:22" x14ac:dyDescent="0.3">
      <c r="A115" t="s">
        <v>87</v>
      </c>
      <c r="B115">
        <f ca="1">'Modello P-C SJF'!$H121</f>
        <v>1.5465535749693331</v>
      </c>
      <c r="C115">
        <f t="shared" ca="1" si="3"/>
        <v>0.85809809731102282</v>
      </c>
      <c r="F115">
        <f t="shared" ca="1" si="4"/>
        <v>0.42396766124351409</v>
      </c>
      <c r="V115">
        <f t="shared" ca="1" si="5"/>
        <v>0.32015278320123758</v>
      </c>
    </row>
    <row r="116" spans="1:22" x14ac:dyDescent="0.3">
      <c r="A116" t="s">
        <v>86</v>
      </c>
      <c r="B116">
        <f ca="1">'Modello P-C SJF'!$H122</f>
        <v>1.6854020346331697</v>
      </c>
      <c r="C116">
        <f t="shared" ca="1" si="3"/>
        <v>0.86974474619687037</v>
      </c>
      <c r="F116">
        <f t="shared" ca="1" si="4"/>
        <v>0.41905850187336302</v>
      </c>
      <c r="V116">
        <f t="shared" ca="1" si="5"/>
        <v>0.49655827419341347</v>
      </c>
    </row>
    <row r="117" spans="1:22" x14ac:dyDescent="0.3">
      <c r="A117" t="s">
        <v>85</v>
      </c>
      <c r="B117">
        <f ca="1">'Modello P-C SJF'!$H123</f>
        <v>0.76340059201566912</v>
      </c>
      <c r="C117">
        <f t="shared" ca="1" si="3"/>
        <v>0.87807723273978844</v>
      </c>
      <c r="F117">
        <f t="shared" ca="1" si="4"/>
        <v>0.41558120990916125</v>
      </c>
      <c r="V117">
        <f t="shared" ca="1" si="5"/>
        <v>4.7233429279691194E-2</v>
      </c>
    </row>
    <row r="118" spans="1:22" x14ac:dyDescent="0.3">
      <c r="A118" t="s">
        <v>84</v>
      </c>
      <c r="B118">
        <f ca="1">'Modello P-C SJF'!$H124</f>
        <v>0.26274979950784766</v>
      </c>
      <c r="C118">
        <f t="shared" ca="1" si="3"/>
        <v>0.88491062821175648</v>
      </c>
      <c r="F118">
        <f t="shared" ca="1" si="4"/>
        <v>0.41275105993103756</v>
      </c>
      <c r="V118">
        <f t="shared" ca="1" si="5"/>
        <v>0.51550005365736007</v>
      </c>
    </row>
    <row r="119" spans="1:22" x14ac:dyDescent="0.3">
      <c r="A119" t="s">
        <v>83</v>
      </c>
      <c r="B119">
        <f ca="1">'Modello P-C SJF'!$H125</f>
        <v>0.47594504162110124</v>
      </c>
      <c r="C119">
        <f t="shared" ca="1" si="3"/>
        <v>0.89069048913163607</v>
      </c>
      <c r="F119">
        <f t="shared" ca="1" si="4"/>
        <v>0.41037229729094593</v>
      </c>
      <c r="V119">
        <f t="shared" ca="1" si="5"/>
        <v>0.25481100769594367</v>
      </c>
    </row>
    <row r="120" spans="1:22" x14ac:dyDescent="0.3">
      <c r="A120" t="s">
        <v>82</v>
      </c>
      <c r="B120">
        <f ca="1">'Modello P-C SJF'!$H126</f>
        <v>1.9593116830500594</v>
      </c>
      <c r="C120">
        <f t="shared" ca="1" si="3"/>
        <v>0.89645019346372612</v>
      </c>
      <c r="F120">
        <f t="shared" ca="1" si="4"/>
        <v>0.40801546802781691</v>
      </c>
      <c r="V120">
        <f t="shared" ca="1" si="5"/>
        <v>0.95761599703860079</v>
      </c>
    </row>
    <row r="121" spans="1:22" x14ac:dyDescent="0.3">
      <c r="A121" t="s">
        <v>81</v>
      </c>
      <c r="B121">
        <f ca="1">'Modello P-C SJF'!$H127</f>
        <v>8.8221544134496649E-2</v>
      </c>
      <c r="C121">
        <f t="shared" ca="1" si="3"/>
        <v>0.9151267362887795</v>
      </c>
      <c r="F121">
        <f t="shared" ca="1" si="4"/>
        <v>0.40046586931646411</v>
      </c>
      <c r="V121">
        <f t="shared" ca="1" si="5"/>
        <v>0.79657691945880482</v>
      </c>
    </row>
    <row r="122" spans="1:22" x14ac:dyDescent="0.3">
      <c r="A122" t="s">
        <v>80</v>
      </c>
      <c r="B122">
        <f ca="1">'Modello P-C SJF'!$H128</f>
        <v>1.0451052086872576</v>
      </c>
      <c r="C122">
        <f t="shared" ca="1" si="3"/>
        <v>0.93522596262696533</v>
      </c>
      <c r="F122">
        <f t="shared" ca="1" si="4"/>
        <v>0.39249716581982075</v>
      </c>
      <c r="V122">
        <f t="shared" ca="1" si="5"/>
        <v>4.1437653400103712E-3</v>
      </c>
    </row>
    <row r="123" spans="1:22" x14ac:dyDescent="0.3">
      <c r="A123" t="s">
        <v>79</v>
      </c>
      <c r="B123">
        <f ca="1">'Modello P-C SJF'!$H129</f>
        <v>0.84542814373460373</v>
      </c>
      <c r="C123">
        <f t="shared" ca="1" si="3"/>
        <v>0.93600380123939042</v>
      </c>
      <c r="F123">
        <f t="shared" ca="1" si="4"/>
        <v>0.39219198507504927</v>
      </c>
      <c r="V123">
        <f t="shared" ca="1" si="5"/>
        <v>1.8307437573160962E-2</v>
      </c>
    </row>
    <row r="124" spans="1:22" x14ac:dyDescent="0.3">
      <c r="A124" t="s">
        <v>78</v>
      </c>
      <c r="B124">
        <f ca="1">'Modello P-C SJF'!$H130</f>
        <v>0.81883961366251901</v>
      </c>
      <c r="C124">
        <f t="shared" ca="1" si="3"/>
        <v>0.94087399236301106</v>
      </c>
      <c r="F124">
        <f t="shared" ca="1" si="4"/>
        <v>0.39028657876319006</v>
      </c>
      <c r="V124">
        <f t="shared" ca="1" si="5"/>
        <v>2.620950855603129E-2</v>
      </c>
    </row>
    <row r="125" spans="1:22" x14ac:dyDescent="0.3">
      <c r="A125" t="s">
        <v>77</v>
      </c>
      <c r="B125">
        <f ca="1">'Modello P-C SJF'!$H131</f>
        <v>1.2250521978587154</v>
      </c>
      <c r="C125">
        <f t="shared" ca="1" si="3"/>
        <v>0.94344328207957751</v>
      </c>
      <c r="F125">
        <f t="shared" ca="1" si="4"/>
        <v>0.38928510655689436</v>
      </c>
      <c r="V125">
        <f t="shared" ca="1" si="5"/>
        <v>5.9691810052439793E-2</v>
      </c>
    </row>
    <row r="126" spans="1:22" x14ac:dyDescent="0.3">
      <c r="A126" t="s">
        <v>76</v>
      </c>
      <c r="B126">
        <f ca="1">'Modello P-C SJF'!$H132</f>
        <v>3.1865967308223655</v>
      </c>
      <c r="C126">
        <f t="shared" ca="1" si="3"/>
        <v>0.95912838161670233</v>
      </c>
      <c r="F126">
        <f t="shared" ca="1" si="4"/>
        <v>0.38322676794105348</v>
      </c>
      <c r="V126">
        <f t="shared" ca="1" si="5"/>
        <v>4.86583425372047</v>
      </c>
    </row>
    <row r="127" spans="1:22" x14ac:dyDescent="0.3">
      <c r="A127" t="s">
        <v>75</v>
      </c>
      <c r="B127">
        <f ca="1">'Modello P-C SJF'!$H133</f>
        <v>1.6786922137141815</v>
      </c>
      <c r="C127">
        <f t="shared" ca="1" si="3"/>
        <v>0.99353406051388105</v>
      </c>
      <c r="F127">
        <f t="shared" ca="1" si="4"/>
        <v>0.37026583419843367</v>
      </c>
      <c r="V127">
        <f t="shared" ca="1" si="5"/>
        <v>0.487146891489597</v>
      </c>
    </row>
    <row r="128" spans="1:22" x14ac:dyDescent="0.3">
      <c r="A128" t="s">
        <v>74</v>
      </c>
      <c r="B128">
        <f ca="1">'Modello P-C SJF'!$H134</f>
        <v>0.39298790494010494</v>
      </c>
      <c r="C128">
        <f t="shared" ca="1" si="3"/>
        <v>0.99609860400104311</v>
      </c>
      <c r="F128">
        <f t="shared" ca="1" si="4"/>
        <v>0.36931748792221808</v>
      </c>
      <c r="V128">
        <f t="shared" ca="1" si="5"/>
        <v>0.3454444420436053</v>
      </c>
    </row>
    <row r="129" spans="1:22" x14ac:dyDescent="0.3">
      <c r="A129" t="s">
        <v>73</v>
      </c>
      <c r="B129">
        <f ca="1">'Modello P-C SJF'!$H135</f>
        <v>0.77825148597675176</v>
      </c>
      <c r="C129">
        <f t="shared" ca="1" si="3"/>
        <v>1.0284097879273535</v>
      </c>
      <c r="F129">
        <f t="shared" ca="1" si="4"/>
        <v>0.3575751289822674</v>
      </c>
      <c r="V129">
        <f t="shared" ca="1" si="5"/>
        <v>4.0998813569782237E-2</v>
      </c>
    </row>
    <row r="130" spans="1:22" x14ac:dyDescent="0.3">
      <c r="A130" t="s">
        <v>72</v>
      </c>
      <c r="B130">
        <f ca="1">'Modello P-C SJF'!$H136</f>
        <v>0.49414047644125247</v>
      </c>
      <c r="C130">
        <f t="shared" ca="1" si="3"/>
        <v>1.0295752056981418</v>
      </c>
      <c r="F130">
        <f t="shared" ca="1" si="4"/>
        <v>0.35715864730727087</v>
      </c>
      <c r="V130">
        <f t="shared" ca="1" si="5"/>
        <v>0.23677240425739779</v>
      </c>
    </row>
    <row r="131" spans="1:22" x14ac:dyDescent="0.3">
      <c r="A131" t="s">
        <v>71</v>
      </c>
      <c r="B131">
        <f ca="1">'Modello P-C SJF'!$H137</f>
        <v>0.42337468621590929</v>
      </c>
      <c r="C131">
        <f t="shared" ref="C131:C194" ca="1" si="6">SMALL($B$3:$B$202, ROW(A129))</f>
        <v>1.0451052086872576</v>
      </c>
      <c r="F131">
        <f t="shared" ref="F131:F194" ca="1" si="7">$E$2*EXP(-$E$2*$C131)</f>
        <v>0.35165482028977774</v>
      </c>
      <c r="V131">
        <f t="shared" ref="V131:V194" ca="1" si="8">($B131-$E$3)^2</f>
        <v>0.31064842770999473</v>
      </c>
    </row>
    <row r="132" spans="1:22" x14ac:dyDescent="0.3">
      <c r="A132" t="s">
        <v>70</v>
      </c>
      <c r="B132">
        <f ca="1">'Modello P-C SJF'!$H138</f>
        <v>0.35297673369632432</v>
      </c>
      <c r="C132">
        <f t="shared" ca="1" si="6"/>
        <v>1.0451530220180738</v>
      </c>
      <c r="F132">
        <f t="shared" ca="1" si="7"/>
        <v>0.35163800690347735</v>
      </c>
      <c r="V132">
        <f t="shared" ca="1" si="8"/>
        <v>0.3940780850499826</v>
      </c>
    </row>
    <row r="133" spans="1:22" x14ac:dyDescent="0.3">
      <c r="A133" t="s">
        <v>69</v>
      </c>
      <c r="B133">
        <f ca="1">'Modello P-C SJF'!$H139</f>
        <v>0.51213387832869683</v>
      </c>
      <c r="C133">
        <f t="shared" ca="1" si="6"/>
        <v>1.0569723159624804</v>
      </c>
      <c r="F133">
        <f t="shared" ca="1" si="7"/>
        <v>0.3475063586183213</v>
      </c>
      <c r="V133">
        <f t="shared" ca="1" si="8"/>
        <v>0.21958525265770282</v>
      </c>
    </row>
    <row r="134" spans="1:22" x14ac:dyDescent="0.3">
      <c r="A134" t="s">
        <v>68</v>
      </c>
      <c r="B134">
        <f ca="1">'Modello P-C SJF'!$H140</f>
        <v>1.5342789626667528</v>
      </c>
      <c r="C134">
        <f t="shared" ca="1" si="6"/>
        <v>1.099894123266038</v>
      </c>
      <c r="F134">
        <f t="shared" ca="1" si="7"/>
        <v>0.33290632886704069</v>
      </c>
      <c r="V134">
        <f t="shared" ca="1" si="8"/>
        <v>0.30641299596126548</v>
      </c>
    </row>
    <row r="135" spans="1:22" x14ac:dyDescent="0.3">
      <c r="A135" t="s">
        <v>67</v>
      </c>
      <c r="B135">
        <f ca="1">'Modello P-C SJF'!$H141</f>
        <v>0.7201403378403276</v>
      </c>
      <c r="C135">
        <f t="shared" ca="1" si="6"/>
        <v>1.1017686797092123</v>
      </c>
      <c r="F135">
        <f t="shared" ca="1" si="7"/>
        <v>0.33228286170804944</v>
      </c>
      <c r="V135">
        <f t="shared" ca="1" si="8"/>
        <v>6.7908599983795837E-2</v>
      </c>
    </row>
    <row r="136" spans="1:22" x14ac:dyDescent="0.3">
      <c r="A136" t="s">
        <v>66</v>
      </c>
      <c r="B136">
        <f ca="1">'Modello P-C SJF'!$H142</f>
        <v>0.34724761527017112</v>
      </c>
      <c r="C136">
        <f t="shared" ca="1" si="6"/>
        <v>1.1174234529762892</v>
      </c>
      <c r="F136">
        <f t="shared" ca="1" si="7"/>
        <v>0.32712155380715791</v>
      </c>
      <c r="V136">
        <f t="shared" ca="1" si="8"/>
        <v>0.40130388924885252</v>
      </c>
    </row>
    <row r="137" spans="1:22" x14ac:dyDescent="0.3">
      <c r="A137" t="s">
        <v>65</v>
      </c>
      <c r="B137">
        <f ca="1">'Modello P-C SJF'!$H143</f>
        <v>0.33265955967271543</v>
      </c>
      <c r="C137">
        <f t="shared" ca="1" si="6"/>
        <v>1.1215925685252424</v>
      </c>
      <c r="F137">
        <f t="shared" ca="1" si="7"/>
        <v>0.32576058523969936</v>
      </c>
      <c r="V137">
        <f t="shared" ca="1" si="8"/>
        <v>0.41999934424601648</v>
      </c>
    </row>
    <row r="138" spans="1:22" x14ac:dyDescent="0.3">
      <c r="A138" t="s">
        <v>64</v>
      </c>
      <c r="B138">
        <f ca="1">'Modello P-C SJF'!$H144</f>
        <v>1.4522968105886493</v>
      </c>
      <c r="C138">
        <f t="shared" ca="1" si="6"/>
        <v>1.1453582220895058</v>
      </c>
      <c r="F138">
        <f t="shared" ca="1" si="7"/>
        <v>0.31810994336895398</v>
      </c>
      <c r="V138">
        <f t="shared" ca="1" si="8"/>
        <v>0.2223723108975314</v>
      </c>
    </row>
    <row r="139" spans="1:22" x14ac:dyDescent="0.3">
      <c r="A139" t="s">
        <v>63</v>
      </c>
      <c r="B139">
        <f ca="1">'Modello P-C SJF'!$H145</f>
        <v>0.65332061875684122</v>
      </c>
      <c r="C139">
        <f t="shared" ca="1" si="6"/>
        <v>1.2034410396654105</v>
      </c>
      <c r="F139">
        <f t="shared" ca="1" si="7"/>
        <v>0.3001595718217252</v>
      </c>
      <c r="V139">
        <f t="shared" ca="1" si="8"/>
        <v>0.10719894831989341</v>
      </c>
    </row>
    <row r="140" spans="1:22" x14ac:dyDescent="0.3">
      <c r="A140" t="s">
        <v>62</v>
      </c>
      <c r="B140">
        <f ca="1">'Modello P-C SJF'!$H146</f>
        <v>1.2345435471872461</v>
      </c>
      <c r="C140">
        <f t="shared" ca="1" si="6"/>
        <v>1.2250521978587154</v>
      </c>
      <c r="F140">
        <f t="shared" ca="1" si="7"/>
        <v>0.29374236720077634</v>
      </c>
      <c r="V140">
        <f t="shared" ca="1" si="8"/>
        <v>6.4419731127566868E-2</v>
      </c>
    </row>
    <row r="141" spans="1:22" x14ac:dyDescent="0.3">
      <c r="A141" t="s">
        <v>61</v>
      </c>
      <c r="B141">
        <f ca="1">'Modello P-C SJF'!$H147</f>
        <v>0.48171789499664136</v>
      </c>
      <c r="C141">
        <f t="shared" ca="1" si="6"/>
        <v>1.2345435471872461</v>
      </c>
      <c r="F141">
        <f t="shared" ca="1" si="7"/>
        <v>0.29096754501538202</v>
      </c>
      <c r="V141">
        <f t="shared" ca="1" si="8"/>
        <v>0.24901619836620761</v>
      </c>
    </row>
    <row r="142" spans="1:22" x14ac:dyDescent="0.3">
      <c r="A142" t="s">
        <v>60</v>
      </c>
      <c r="B142">
        <f ca="1">'Modello P-C SJF'!$H148</f>
        <v>2.2961648409304272</v>
      </c>
      <c r="C142">
        <f t="shared" ca="1" si="6"/>
        <v>1.2626355224387</v>
      </c>
      <c r="F142">
        <f t="shared" ca="1" si="7"/>
        <v>0.28290743421061904</v>
      </c>
      <c r="V142">
        <f t="shared" ca="1" si="8"/>
        <v>1.7303606029901266</v>
      </c>
    </row>
    <row r="143" spans="1:22" x14ac:dyDescent="0.3">
      <c r="A143" t="s">
        <v>59</v>
      </c>
      <c r="B143">
        <f ca="1">'Modello P-C SJF'!$H149</f>
        <v>0.8390584427225708</v>
      </c>
      <c r="C143">
        <f t="shared" ca="1" si="6"/>
        <v>1.3055841162507651</v>
      </c>
      <c r="F143">
        <f t="shared" ca="1" si="7"/>
        <v>0.27101418501303454</v>
      </c>
      <c r="V143">
        <f t="shared" ca="1" si="8"/>
        <v>2.0071715198355759E-2</v>
      </c>
    </row>
    <row r="144" spans="1:22" x14ac:dyDescent="0.3">
      <c r="A144" t="s">
        <v>58</v>
      </c>
      <c r="B144">
        <f ca="1">'Modello P-C SJF'!$H150</f>
        <v>0.30786563570205533</v>
      </c>
      <c r="C144">
        <f t="shared" ca="1" si="6"/>
        <v>1.3163468525251425</v>
      </c>
      <c r="F144">
        <f t="shared" ca="1" si="7"/>
        <v>0.26811297131754475</v>
      </c>
      <c r="V144">
        <f t="shared" ca="1" si="8"/>
        <v>0.45275065625410588</v>
      </c>
    </row>
    <row r="145" spans="1:22" x14ac:dyDescent="0.3">
      <c r="A145" t="s">
        <v>57</v>
      </c>
      <c r="B145">
        <f ca="1">'Modello P-C SJF'!$H151</f>
        <v>0.39773374803050948</v>
      </c>
      <c r="C145">
        <f t="shared" ca="1" si="6"/>
        <v>1.330425856739718</v>
      </c>
      <c r="F145">
        <f t="shared" ca="1" si="7"/>
        <v>0.26436465585419305</v>
      </c>
      <c r="V145">
        <f t="shared" ca="1" si="8"/>
        <v>0.33988827190056597</v>
      </c>
    </row>
    <row r="146" spans="1:22" x14ac:dyDescent="0.3">
      <c r="A146" t="s">
        <v>56</v>
      </c>
      <c r="B146">
        <f ca="1">'Modello P-C SJF'!$H152</f>
        <v>0.89069048913163607</v>
      </c>
      <c r="C146">
        <f t="shared" ca="1" si="6"/>
        <v>1.3340281009434016</v>
      </c>
      <c r="F146">
        <f t="shared" ca="1" si="7"/>
        <v>0.26341406296676334</v>
      </c>
      <c r="V146">
        <f t="shared" ca="1" si="8"/>
        <v>8.1076760198643353E-3</v>
      </c>
    </row>
    <row r="147" spans="1:22" x14ac:dyDescent="0.3">
      <c r="A147" t="s">
        <v>55</v>
      </c>
      <c r="B147">
        <f ca="1">'Modello P-C SJF'!$H153</f>
        <v>0.76511501281285277</v>
      </c>
      <c r="C147">
        <f t="shared" ca="1" si="6"/>
        <v>1.3446443531398178</v>
      </c>
      <c r="F147">
        <f t="shared" ca="1" si="7"/>
        <v>0.26063238446812431</v>
      </c>
      <c r="V147">
        <f t="shared" ca="1" si="8"/>
        <v>4.6491169694296244E-2</v>
      </c>
    </row>
    <row r="148" spans="1:22" x14ac:dyDescent="0.3">
      <c r="A148" t="s">
        <v>54</v>
      </c>
      <c r="B148">
        <f ca="1">'Modello P-C SJF'!$H154</f>
        <v>2.0379856222376072</v>
      </c>
      <c r="C148">
        <f t="shared" ca="1" si="6"/>
        <v>1.3604587914161461</v>
      </c>
      <c r="F148">
        <f t="shared" ca="1" si="7"/>
        <v>0.25654305020030516</v>
      </c>
      <c r="V148">
        <f t="shared" ca="1" si="8"/>
        <v>1.1177828459005801</v>
      </c>
    </row>
    <row r="149" spans="1:22" x14ac:dyDescent="0.3">
      <c r="A149" t="s">
        <v>53</v>
      </c>
      <c r="B149">
        <f ca="1">'Modello P-C SJF'!$H155</f>
        <v>0.18745356999259721</v>
      </c>
      <c r="C149">
        <f t="shared" ca="1" si="6"/>
        <v>1.3759039089946299</v>
      </c>
      <c r="F149">
        <f t="shared" ca="1" si="7"/>
        <v>0.25261115508026677</v>
      </c>
      <c r="V149">
        <f t="shared" ca="1" si="8"/>
        <v>0.62929245015271496</v>
      </c>
    </row>
    <row r="150" spans="1:22" x14ac:dyDescent="0.3">
      <c r="A150" t="s">
        <v>52</v>
      </c>
      <c r="B150">
        <f ca="1">'Modello P-C SJF'!$H156</f>
        <v>3.4197234585096998</v>
      </c>
      <c r="C150">
        <f t="shared" ca="1" si="6"/>
        <v>1.4280958233570746</v>
      </c>
      <c r="F150">
        <f t="shared" ca="1" si="7"/>
        <v>0.23976504283320091</v>
      </c>
      <c r="V150">
        <f t="shared" ca="1" si="8"/>
        <v>5.9486738538408712</v>
      </c>
    </row>
    <row r="151" spans="1:22" x14ac:dyDescent="0.3">
      <c r="A151" t="s">
        <v>51</v>
      </c>
      <c r="B151">
        <f ca="1">'Modello P-C SJF'!$H157</f>
        <v>2.4746752397149807</v>
      </c>
      <c r="C151">
        <f t="shared" ca="1" si="6"/>
        <v>1.4522968105886493</v>
      </c>
      <c r="F151">
        <f t="shared" ca="1" si="7"/>
        <v>0.23403214281778026</v>
      </c>
      <c r="V151">
        <f t="shared" ca="1" si="8"/>
        <v>2.231863046337597</v>
      </c>
    </row>
    <row r="152" spans="1:22" x14ac:dyDescent="0.3">
      <c r="A152" t="s">
        <v>50</v>
      </c>
      <c r="B152">
        <f ca="1">'Modello P-C SJF'!$H158</f>
        <v>1.0295752056981418</v>
      </c>
      <c r="C152">
        <f t="shared" ca="1" si="6"/>
        <v>1.4681589871833611</v>
      </c>
      <c r="F152">
        <f t="shared" ca="1" si="7"/>
        <v>0.23034917083751369</v>
      </c>
      <c r="V152">
        <f t="shared" ca="1" si="8"/>
        <v>2.3855489848419197E-3</v>
      </c>
    </row>
    <row r="153" spans="1:22" x14ac:dyDescent="0.3">
      <c r="A153" t="s">
        <v>49</v>
      </c>
      <c r="B153">
        <f ca="1">'Modello P-C SJF'!$H159</f>
        <v>1.4878201691539725</v>
      </c>
      <c r="C153">
        <f t="shared" ca="1" si="6"/>
        <v>1.4757579338892839</v>
      </c>
      <c r="F153">
        <f t="shared" ca="1" si="7"/>
        <v>0.22860539359079507</v>
      </c>
      <c r="V153">
        <f t="shared" ca="1" si="8"/>
        <v>0.25713727178070306</v>
      </c>
    </row>
    <row r="154" spans="1:22" x14ac:dyDescent="0.3">
      <c r="A154" t="s">
        <v>48</v>
      </c>
      <c r="B154">
        <f ca="1">'Modello P-C SJF'!$H160</f>
        <v>0.16108605534717996</v>
      </c>
      <c r="C154">
        <f t="shared" ca="1" si="6"/>
        <v>1.4878201691539725</v>
      </c>
      <c r="F154">
        <f t="shared" ca="1" si="7"/>
        <v>0.22586446564250828</v>
      </c>
      <c r="V154">
        <f t="shared" ca="1" si="8"/>
        <v>0.67182131647597143</v>
      </c>
    </row>
    <row r="155" spans="1:22" x14ac:dyDescent="0.3">
      <c r="A155" t="s">
        <v>47</v>
      </c>
      <c r="B155">
        <f ca="1">'Modello P-C SJF'!$H161</f>
        <v>0.52440894784729186</v>
      </c>
      <c r="C155">
        <f t="shared" ca="1" si="6"/>
        <v>1.5079798975940573</v>
      </c>
      <c r="F155">
        <f t="shared" ca="1" si="7"/>
        <v>0.22135668978725753</v>
      </c>
      <c r="V155">
        <f t="shared" ca="1" si="8"/>
        <v>0.20823175336554797</v>
      </c>
    </row>
    <row r="156" spans="1:22" x14ac:dyDescent="0.3">
      <c r="A156" t="s">
        <v>46</v>
      </c>
      <c r="B156">
        <f ca="1">'Modello P-C SJF'!$H162</f>
        <v>0.22752506308065329</v>
      </c>
      <c r="C156">
        <f t="shared" ca="1" si="6"/>
        <v>1.5148609214391482</v>
      </c>
      <c r="F156">
        <f t="shared" ca="1" si="7"/>
        <v>0.21983875757973029</v>
      </c>
      <c r="V156">
        <f t="shared" ca="1" si="8"/>
        <v>0.56732238241342259</v>
      </c>
    </row>
    <row r="157" spans="1:22" x14ac:dyDescent="0.3">
      <c r="A157" t="s">
        <v>45</v>
      </c>
      <c r="B157">
        <f ca="1">'Modello P-C SJF'!$H163</f>
        <v>0.81347086781261568</v>
      </c>
      <c r="C157">
        <f t="shared" ca="1" si="6"/>
        <v>1.5342789626667528</v>
      </c>
      <c r="F157">
        <f t="shared" ca="1" si="7"/>
        <v>0.21561109878735013</v>
      </c>
      <c r="V157">
        <f t="shared" ca="1" si="8"/>
        <v>2.7976662207110869E-2</v>
      </c>
    </row>
    <row r="158" spans="1:22" x14ac:dyDescent="0.3">
      <c r="A158" t="s">
        <v>44</v>
      </c>
      <c r="B158">
        <f ca="1">'Modello P-C SJF'!$H164</f>
        <v>6.0294362068341718E-2</v>
      </c>
      <c r="C158">
        <f t="shared" ca="1" si="6"/>
        <v>1.5401230768770491</v>
      </c>
      <c r="F158">
        <f t="shared" ca="1" si="7"/>
        <v>0.21435471769416301</v>
      </c>
      <c r="V158">
        <f t="shared" ca="1" si="8"/>
        <v>0.8472075137080668</v>
      </c>
    </row>
    <row r="159" spans="1:22" x14ac:dyDescent="0.3">
      <c r="A159" t="s">
        <v>43</v>
      </c>
      <c r="B159">
        <f ca="1">'Modello P-C SJF'!$H165</f>
        <v>8.9601319104318775E-2</v>
      </c>
      <c r="C159">
        <f t="shared" ca="1" si="6"/>
        <v>1.5465535749693331</v>
      </c>
      <c r="F159">
        <f t="shared" ca="1" si="7"/>
        <v>0.21298073253011685</v>
      </c>
      <c r="V159">
        <f t="shared" ca="1" si="8"/>
        <v>0.79411589296255913</v>
      </c>
    </row>
    <row r="160" spans="1:22" x14ac:dyDescent="0.3">
      <c r="A160" t="s">
        <v>42</v>
      </c>
      <c r="B160">
        <f ca="1">'Modello P-C SJF'!$H166</f>
        <v>0.51385148228406696</v>
      </c>
      <c r="C160">
        <f t="shared" ca="1" si="6"/>
        <v>1.5855182867319852</v>
      </c>
      <c r="F160">
        <f t="shared" ca="1" si="7"/>
        <v>0.20484159891677481</v>
      </c>
      <c r="V160">
        <f t="shared" ca="1" si="8"/>
        <v>0.21797846698676823</v>
      </c>
    </row>
    <row r="161" spans="1:22" x14ac:dyDescent="0.3">
      <c r="A161" t="s">
        <v>41</v>
      </c>
      <c r="B161">
        <f ca="1">'Modello P-C SJF'!$H167</f>
        <v>1.2626355224387</v>
      </c>
      <c r="C161">
        <f t="shared" ca="1" si="6"/>
        <v>1.6088468836086005</v>
      </c>
      <c r="F161">
        <f t="shared" ca="1" si="7"/>
        <v>0.2001182407034901</v>
      </c>
      <c r="V161">
        <f t="shared" ca="1" si="8"/>
        <v>7.9468962477710417E-2</v>
      </c>
    </row>
    <row r="162" spans="1:22" x14ac:dyDescent="0.3">
      <c r="A162" t="s">
        <v>40</v>
      </c>
      <c r="B162">
        <f ca="1">'Modello P-C SJF'!$H168</f>
        <v>0.9151267362887795</v>
      </c>
      <c r="C162">
        <f t="shared" ca="1" si="6"/>
        <v>1.6237343452711797</v>
      </c>
      <c r="F162">
        <f t="shared" ca="1" si="7"/>
        <v>0.19716105517825813</v>
      </c>
      <c r="V162">
        <f t="shared" ca="1" si="8"/>
        <v>4.3041980544713193E-3</v>
      </c>
    </row>
    <row r="163" spans="1:22" x14ac:dyDescent="0.3">
      <c r="A163" t="s">
        <v>39</v>
      </c>
      <c r="B163">
        <f ca="1">'Modello P-C SJF'!$H169</f>
        <v>0.55411814949693328</v>
      </c>
      <c r="C163">
        <f t="shared" ca="1" si="6"/>
        <v>1.6607351279033609</v>
      </c>
      <c r="F163">
        <f t="shared" ca="1" si="7"/>
        <v>0.18999925499593573</v>
      </c>
      <c r="V163">
        <f t="shared" ca="1" si="8"/>
        <v>0.18200033611882557</v>
      </c>
    </row>
    <row r="164" spans="1:22" x14ac:dyDescent="0.3">
      <c r="A164" t="s">
        <v>38</v>
      </c>
      <c r="B164">
        <f ca="1">'Modello P-C SJF'!$H170</f>
        <v>3.0190210720677859</v>
      </c>
      <c r="C164">
        <f t="shared" ca="1" si="6"/>
        <v>1.6774665023090711</v>
      </c>
      <c r="F164">
        <f t="shared" ca="1" si="7"/>
        <v>0.18684675271378071</v>
      </c>
      <c r="V164">
        <f t="shared" ca="1" si="8"/>
        <v>4.1546177609174375</v>
      </c>
    </row>
    <row r="165" spans="1:22" x14ac:dyDescent="0.3">
      <c r="A165" t="s">
        <v>37</v>
      </c>
      <c r="B165">
        <f ca="1">'Modello P-C SJF'!$H171</f>
        <v>9.392433416179799E-2</v>
      </c>
      <c r="C165">
        <f t="shared" ca="1" si="6"/>
        <v>1.6786922137141815</v>
      </c>
      <c r="F165">
        <f t="shared" ca="1" si="7"/>
        <v>0.1866178728169767</v>
      </c>
      <c r="V165">
        <f t="shared" ca="1" si="8"/>
        <v>0.78642982900378211</v>
      </c>
    </row>
    <row r="166" spans="1:22" x14ac:dyDescent="0.3">
      <c r="A166" t="s">
        <v>36</v>
      </c>
      <c r="B166">
        <f ca="1">'Modello P-C SJF'!$H172</f>
        <v>5.1874958026793185E-2</v>
      </c>
      <c r="C166">
        <f t="shared" ca="1" si="6"/>
        <v>1.6816186057587581</v>
      </c>
      <c r="F166">
        <f t="shared" ca="1" si="7"/>
        <v>0.18607255405599657</v>
      </c>
      <c r="V166">
        <f t="shared" ca="1" si="8"/>
        <v>0.86277749172995677</v>
      </c>
    </row>
    <row r="167" spans="1:22" x14ac:dyDescent="0.3">
      <c r="A167" t="s">
        <v>35</v>
      </c>
      <c r="B167">
        <f ca="1">'Modello P-C SJF'!$H173</f>
        <v>9.2654547105591248E-2</v>
      </c>
      <c r="C167">
        <f t="shared" ca="1" si="6"/>
        <v>1.6854020346331697</v>
      </c>
      <c r="F167">
        <f t="shared" ca="1" si="7"/>
        <v>0.18536989185665084</v>
      </c>
      <c r="V167">
        <f t="shared" ca="1" si="8"/>
        <v>0.78868355800723799</v>
      </c>
    </row>
    <row r="168" spans="1:22" x14ac:dyDescent="0.3">
      <c r="A168" t="s">
        <v>34</v>
      </c>
      <c r="B168">
        <f ca="1">'Modello P-C SJF'!$H174</f>
        <v>0.20052951645181216</v>
      </c>
      <c r="C168">
        <f t="shared" ca="1" si="6"/>
        <v>1.7393065038129789</v>
      </c>
      <c r="F168">
        <f t="shared" ca="1" si="7"/>
        <v>0.17564216556245177</v>
      </c>
      <c r="V168">
        <f t="shared" ca="1" si="8"/>
        <v>0.60871766858850918</v>
      </c>
    </row>
    <row r="169" spans="1:22" x14ac:dyDescent="0.3">
      <c r="A169" t="s">
        <v>33</v>
      </c>
      <c r="B169">
        <f ca="1">'Modello P-C SJF'!$H175</f>
        <v>0.47569545572107241</v>
      </c>
      <c r="C169">
        <f t="shared" ca="1" si="6"/>
        <v>1.7473991649057752</v>
      </c>
      <c r="F169">
        <f t="shared" ca="1" si="7"/>
        <v>0.17422648906419208</v>
      </c>
      <c r="V169">
        <f t="shared" ca="1" si="8"/>
        <v>0.25506304596458823</v>
      </c>
    </row>
    <row r="170" spans="1:22" x14ac:dyDescent="0.3">
      <c r="A170" t="s">
        <v>32</v>
      </c>
      <c r="B170">
        <f ca="1">'Modello P-C SJF'!$H176</f>
        <v>0.74722185547624431</v>
      </c>
      <c r="C170">
        <f t="shared" ca="1" si="6"/>
        <v>1.8106271420455988</v>
      </c>
      <c r="F170">
        <f t="shared" ca="1" si="7"/>
        <v>0.16355153458902283</v>
      </c>
      <c r="V170">
        <f t="shared" ca="1" si="8"/>
        <v>5.4527512335217188E-2</v>
      </c>
    </row>
    <row r="171" spans="1:22" x14ac:dyDescent="0.3">
      <c r="A171" t="s">
        <v>31</v>
      </c>
      <c r="B171">
        <f ca="1">'Modello P-C SJF'!$H177</f>
        <v>2.1357866672063648</v>
      </c>
      <c r="C171">
        <f t="shared" ca="1" si="6"/>
        <v>1.8252280310305675</v>
      </c>
      <c r="F171">
        <f t="shared" ca="1" si="7"/>
        <v>0.16118088569543129</v>
      </c>
      <c r="V171">
        <f t="shared" ca="1" si="8"/>
        <v>1.3341486886250604</v>
      </c>
    </row>
    <row r="172" spans="1:22" x14ac:dyDescent="0.3">
      <c r="A172" t="s">
        <v>30</v>
      </c>
      <c r="B172">
        <f ca="1">'Modello P-C SJF'!$H178</f>
        <v>0.13416235454680076</v>
      </c>
      <c r="C172">
        <f t="shared" ca="1" si="6"/>
        <v>1.8351512750788597</v>
      </c>
      <c r="F172">
        <f t="shared" ca="1" si="7"/>
        <v>0.15958935804926852</v>
      </c>
      <c r="V172">
        <f t="shared" ca="1" si="8"/>
        <v>0.71668206699521386</v>
      </c>
    </row>
    <row r="173" spans="1:22" x14ac:dyDescent="0.3">
      <c r="A173" t="s">
        <v>29</v>
      </c>
      <c r="B173">
        <f ca="1">'Modello P-C SJF'!$H179</f>
        <v>0.52344199625378851</v>
      </c>
      <c r="C173">
        <f t="shared" ca="1" si="6"/>
        <v>1.8395673983702259</v>
      </c>
      <c r="F173">
        <f t="shared" ca="1" si="7"/>
        <v>0.15888614564731196</v>
      </c>
      <c r="V173">
        <f t="shared" ca="1" si="8"/>
        <v>0.20911517513870553</v>
      </c>
    </row>
    <row r="174" spans="1:22" x14ac:dyDescent="0.3">
      <c r="A174" t="s">
        <v>28</v>
      </c>
      <c r="B174">
        <f ca="1">'Modello P-C SJF'!$H180</f>
        <v>0.42761250200484302</v>
      </c>
      <c r="C174">
        <f t="shared" ca="1" si="6"/>
        <v>1.857529160688455</v>
      </c>
      <c r="F174">
        <f t="shared" ca="1" si="7"/>
        <v>0.15605774800881533</v>
      </c>
      <c r="V174">
        <f t="shared" ca="1" si="8"/>
        <v>0.30594242202067284</v>
      </c>
    </row>
    <row r="175" spans="1:22" x14ac:dyDescent="0.3">
      <c r="A175" t="s">
        <v>27</v>
      </c>
      <c r="B175">
        <f ca="1">'Modello P-C SJF'!$H181</f>
        <v>1.6237343452711797</v>
      </c>
      <c r="C175">
        <f t="shared" ca="1" si="6"/>
        <v>1.8808025416528642</v>
      </c>
      <c r="F175">
        <f t="shared" ca="1" si="7"/>
        <v>0.1524676949676477</v>
      </c>
      <c r="V175">
        <f t="shared" ca="1" si="8"/>
        <v>0.41345057108590477</v>
      </c>
    </row>
    <row r="176" spans="1:22" x14ac:dyDescent="0.3">
      <c r="A176" t="s">
        <v>26</v>
      </c>
      <c r="B176">
        <f ca="1">'Modello P-C SJF'!$H182</f>
        <v>1.8252280310305675</v>
      </c>
      <c r="C176">
        <f t="shared" ca="1" si="6"/>
        <v>1.8916750693976851</v>
      </c>
      <c r="F176">
        <f t="shared" ca="1" si="7"/>
        <v>0.15081896489722885</v>
      </c>
      <c r="V176">
        <f t="shared" ca="1" si="8"/>
        <v>0.71317164869622474</v>
      </c>
    </row>
    <row r="177" spans="1:22" x14ac:dyDescent="0.3">
      <c r="A177" t="s">
        <v>25</v>
      </c>
      <c r="B177">
        <f ca="1">'Modello P-C SJF'!$H183</f>
        <v>0.21709262836649268</v>
      </c>
      <c r="C177">
        <f t="shared" ca="1" si="6"/>
        <v>1.9593116830500594</v>
      </c>
      <c r="F177">
        <f t="shared" ca="1" si="7"/>
        <v>0.14095540953533112</v>
      </c>
      <c r="V177">
        <f t="shared" ca="1" si="8"/>
        <v>0.58314680594233514</v>
      </c>
    </row>
    <row r="178" spans="1:22" x14ac:dyDescent="0.3">
      <c r="A178" t="s">
        <v>24</v>
      </c>
      <c r="B178">
        <f ca="1">'Modello P-C SJF'!$H184</f>
        <v>1.5148609214391482</v>
      </c>
      <c r="C178">
        <f t="shared" ca="1" si="6"/>
        <v>1.9812820124167139</v>
      </c>
      <c r="F178">
        <f t="shared" ca="1" si="7"/>
        <v>0.13789234424807331</v>
      </c>
      <c r="V178">
        <f t="shared" ca="1" si="8"/>
        <v>0.28529250443718679</v>
      </c>
    </row>
    <row r="179" spans="1:22" x14ac:dyDescent="0.3">
      <c r="A179" t="s">
        <v>23</v>
      </c>
      <c r="B179">
        <f ca="1">'Modello P-C SJF'!$H185</f>
        <v>0.22762824535217718</v>
      </c>
      <c r="C179">
        <f t="shared" ca="1" si="6"/>
        <v>1.9843495105408853</v>
      </c>
      <c r="F179">
        <f t="shared" ca="1" si="7"/>
        <v>0.13747000783000593</v>
      </c>
      <c r="V179">
        <f t="shared" ca="1" si="8"/>
        <v>0.56716695762277713</v>
      </c>
    </row>
    <row r="180" spans="1:22" x14ac:dyDescent="0.3">
      <c r="A180" t="s">
        <v>22</v>
      </c>
      <c r="B180">
        <f ca="1">'Modello P-C SJF'!$H186</f>
        <v>0.56139483724905082</v>
      </c>
      <c r="C180">
        <f t="shared" ca="1" si="6"/>
        <v>1.9874166350091298</v>
      </c>
      <c r="F180">
        <f t="shared" ca="1" si="7"/>
        <v>0.13704901615230974</v>
      </c>
      <c r="V180">
        <f t="shared" ca="1" si="8"/>
        <v>0.1758445983897888</v>
      </c>
    </row>
    <row r="181" spans="1:22" x14ac:dyDescent="0.3">
      <c r="A181" t="s">
        <v>21</v>
      </c>
      <c r="B181">
        <f ca="1">'Modello P-C SJF'!$H187</f>
        <v>0.99353406051388105</v>
      </c>
      <c r="C181">
        <f t="shared" ca="1" si="6"/>
        <v>2.0379856222376072</v>
      </c>
      <c r="F181">
        <f t="shared" ca="1" si="7"/>
        <v>0.13029090180922423</v>
      </c>
      <c r="V181">
        <f t="shared" ca="1" si="8"/>
        <v>1.6386398617726337E-4</v>
      </c>
    </row>
    <row r="182" spans="1:22" x14ac:dyDescent="0.3">
      <c r="A182" t="s">
        <v>20</v>
      </c>
      <c r="B182">
        <f ca="1">'Modello P-C SJF'!$H188</f>
        <v>1.0451530220180738</v>
      </c>
      <c r="C182">
        <f t="shared" ca="1" si="6"/>
        <v>2.0538831283705141</v>
      </c>
      <c r="F182">
        <f t="shared" ca="1" si="7"/>
        <v>0.12823597875292497</v>
      </c>
      <c r="V182">
        <f t="shared" ca="1" si="8"/>
        <v>4.1499233137253172E-3</v>
      </c>
    </row>
    <row r="183" spans="1:22" x14ac:dyDescent="0.3">
      <c r="A183" t="s">
        <v>19</v>
      </c>
      <c r="B183">
        <f ca="1">'Modello P-C SJF'!$H189</f>
        <v>0.94087399236301106</v>
      </c>
      <c r="C183">
        <f t="shared" ca="1" si="6"/>
        <v>2.054508666810162</v>
      </c>
      <c r="F183">
        <f t="shared" ca="1" si="7"/>
        <v>0.12815578730290131</v>
      </c>
      <c r="V183">
        <f t="shared" ca="1" si="8"/>
        <v>1.5887503420206081E-3</v>
      </c>
    </row>
    <row r="184" spans="1:22" x14ac:dyDescent="0.3">
      <c r="A184" t="s">
        <v>18</v>
      </c>
      <c r="B184">
        <f ca="1">'Modello P-C SJF'!$H190</f>
        <v>1.5401230768770491</v>
      </c>
      <c r="C184">
        <f t="shared" ca="1" si="6"/>
        <v>2.0555499637274313</v>
      </c>
      <c r="F184">
        <f t="shared" ca="1" si="7"/>
        <v>0.12802240853215585</v>
      </c>
      <c r="V184">
        <f t="shared" ca="1" si="8"/>
        <v>0.31291711984058812</v>
      </c>
    </row>
    <row r="185" spans="1:22" x14ac:dyDescent="0.3">
      <c r="A185" t="s">
        <v>17</v>
      </c>
      <c r="B185">
        <f ca="1">'Modello P-C SJF'!$H191</f>
        <v>0.43803895225735318</v>
      </c>
      <c r="C185">
        <f t="shared" ca="1" si="6"/>
        <v>2.1357866672063648</v>
      </c>
      <c r="F185">
        <f t="shared" ca="1" si="7"/>
        <v>0.11815160781301802</v>
      </c>
      <c r="V185">
        <f t="shared" ca="1" si="8"/>
        <v>0.29451696359638974</v>
      </c>
    </row>
    <row r="186" spans="1:22" x14ac:dyDescent="0.3">
      <c r="A186" t="s">
        <v>16</v>
      </c>
      <c r="B186">
        <f ca="1">'Modello P-C SJF'!$H192</f>
        <v>0.64832377997138779</v>
      </c>
      <c r="C186">
        <f t="shared" ca="1" si="6"/>
        <v>2.1887842735422947</v>
      </c>
      <c r="F186">
        <f t="shared" ca="1" si="7"/>
        <v>0.11205289150917298</v>
      </c>
      <c r="V186">
        <f t="shared" ca="1" si="8"/>
        <v>0.11049597172370802</v>
      </c>
    </row>
    <row r="187" spans="1:22" x14ac:dyDescent="0.3">
      <c r="A187" t="s">
        <v>15</v>
      </c>
      <c r="B187">
        <f ca="1">'Modello P-C SJF'!$H193</f>
        <v>1.5079798975940573</v>
      </c>
      <c r="C187">
        <f t="shared" ca="1" si="6"/>
        <v>2.1983776539168889</v>
      </c>
      <c r="F187">
        <f t="shared" ca="1" si="7"/>
        <v>0.11098306532852062</v>
      </c>
      <c r="V187">
        <f t="shared" ca="1" si="8"/>
        <v>0.27798916069966584</v>
      </c>
    </row>
    <row r="188" spans="1:22" x14ac:dyDescent="0.3">
      <c r="A188" t="s">
        <v>14</v>
      </c>
      <c r="B188">
        <f ca="1">'Modello P-C SJF'!$H194</f>
        <v>1.6774665023090711</v>
      </c>
      <c r="C188">
        <f t="shared" ca="1" si="6"/>
        <v>2.2371509477525873</v>
      </c>
      <c r="F188">
        <f t="shared" ca="1" si="7"/>
        <v>0.10676224269812461</v>
      </c>
      <c r="V188">
        <f t="shared" ca="1" si="8"/>
        <v>0.48543740102390964</v>
      </c>
    </row>
    <row r="189" spans="1:22" x14ac:dyDescent="0.3">
      <c r="A189" t="s">
        <v>13</v>
      </c>
      <c r="B189">
        <f ca="1">'Modello P-C SJF'!$H195</f>
        <v>0.22768448639979968</v>
      </c>
      <c r="C189">
        <f t="shared" ca="1" si="6"/>
        <v>2.2961648409304272</v>
      </c>
      <c r="F189">
        <f t="shared" ca="1" si="7"/>
        <v>0.10064409060595265</v>
      </c>
      <c r="V189">
        <f t="shared" ca="1" si="8"/>
        <v>0.56708224997118939</v>
      </c>
    </row>
    <row r="190" spans="1:22" x14ac:dyDescent="0.3">
      <c r="A190" t="s">
        <v>12</v>
      </c>
      <c r="B190">
        <f ca="1">'Modello P-C SJF'!$H196</f>
        <v>0.17681099749225213</v>
      </c>
      <c r="C190">
        <f t="shared" ca="1" si="6"/>
        <v>2.3127147405896107</v>
      </c>
      <c r="F190">
        <f t="shared" ca="1" si="7"/>
        <v>9.8992148448899919E-2</v>
      </c>
      <c r="V190">
        <f t="shared" ca="1" si="8"/>
        <v>0.64629078482650348</v>
      </c>
    </row>
    <row r="191" spans="1:22" x14ac:dyDescent="0.3">
      <c r="A191" t="s">
        <v>11</v>
      </c>
      <c r="B191">
        <f ca="1">'Modello P-C SJF'!$H197</f>
        <v>0.93522596262696533</v>
      </c>
      <c r="C191">
        <f t="shared" ca="1" si="6"/>
        <v>2.3754649172683542</v>
      </c>
      <c r="F191">
        <f t="shared" ca="1" si="7"/>
        <v>9.2971255219315624E-2</v>
      </c>
      <c r="V191">
        <f t="shared" ca="1" si="8"/>
        <v>2.0709016987446142E-3</v>
      </c>
    </row>
    <row r="192" spans="1:22" x14ac:dyDescent="0.3">
      <c r="A192" t="s">
        <v>10</v>
      </c>
      <c r="B192">
        <f ca="1">'Modello P-C SJF'!$H198</f>
        <v>0.3926217788639364</v>
      </c>
      <c r="C192">
        <f t="shared" ca="1" si="6"/>
        <v>2.4238232532262831</v>
      </c>
      <c r="F192">
        <f t="shared" ca="1" si="7"/>
        <v>8.8582296666534832E-2</v>
      </c>
      <c r="V192">
        <f t="shared" ca="1" si="8"/>
        <v>0.3458749537932897</v>
      </c>
    </row>
    <row r="193" spans="1:22" x14ac:dyDescent="0.3">
      <c r="A193" t="s">
        <v>9</v>
      </c>
      <c r="B193">
        <f ca="1">'Modello P-C SJF'!$H199</f>
        <v>0.18284191293291308</v>
      </c>
      <c r="C193">
        <f t="shared" ca="1" si="6"/>
        <v>2.4582587654953878</v>
      </c>
      <c r="F193">
        <f t="shared" ca="1" si="7"/>
        <v>8.5583842842061511E-2</v>
      </c>
      <c r="V193">
        <f t="shared" ca="1" si="8"/>
        <v>0.63663038404083483</v>
      </c>
    </row>
    <row r="194" spans="1:22" x14ac:dyDescent="0.3">
      <c r="A194" t="s">
        <v>8</v>
      </c>
      <c r="B194">
        <f ca="1">'Modello P-C SJF'!$H200</f>
        <v>0.47142259276653742</v>
      </c>
      <c r="C194">
        <f t="shared" ca="1" si="6"/>
        <v>2.4746752397149807</v>
      </c>
      <c r="F194">
        <f t="shared" ca="1" si="7"/>
        <v>8.4190327492798339E-2</v>
      </c>
      <c r="V194">
        <f t="shared" ca="1" si="8"/>
        <v>0.25939721680576416</v>
      </c>
    </row>
    <row r="195" spans="1:22" x14ac:dyDescent="0.3">
      <c r="A195" t="s">
        <v>7</v>
      </c>
      <c r="B195">
        <f ca="1">'Modello P-C SJF'!$H201</f>
        <v>1.330425856739718</v>
      </c>
      <c r="C195">
        <f t="shared" ref="C195:C202" ca="1" si="9">SMALL($B$3:$B$202, ROW(A193))</f>
        <v>2.5899439098580888</v>
      </c>
      <c r="F195">
        <f t="shared" ref="F195:F202" ca="1" si="10">$E$2*EXP(-$E$2*$C195)</f>
        <v>7.5024248088034165E-2</v>
      </c>
      <c r="V195">
        <f t="shared" ref="V195:V202" ca="1" si="11">($B195-$E$3)^2</f>
        <v>0.1222850076190334</v>
      </c>
    </row>
    <row r="196" spans="1:22" x14ac:dyDescent="0.3">
      <c r="A196" t="s">
        <v>6</v>
      </c>
      <c r="B196">
        <f ca="1">'Modello P-C SJF'!$H202</f>
        <v>0.95912838161670233</v>
      </c>
      <c r="C196">
        <f t="shared" ca="1" si="9"/>
        <v>2.8495650491379494</v>
      </c>
      <c r="F196">
        <f t="shared" ca="1" si="10"/>
        <v>5.7869485784420534E-2</v>
      </c>
      <c r="V196">
        <f t="shared" ca="1" si="11"/>
        <v>4.667648756516194E-4</v>
      </c>
    </row>
    <row r="197" spans="1:22" x14ac:dyDescent="0.3">
      <c r="A197" t="s">
        <v>5</v>
      </c>
      <c r="B197">
        <f ca="1">'Modello P-C SJF'!$H203</f>
        <v>0.85809809731102282</v>
      </c>
      <c r="C197">
        <f t="shared" ca="1" si="9"/>
        <v>3.0190210720677859</v>
      </c>
      <c r="F197">
        <f t="shared" ca="1" si="10"/>
        <v>4.8849014628526859E-2</v>
      </c>
      <c r="V197">
        <f t="shared" ca="1" si="11"/>
        <v>1.5039349669984787E-2</v>
      </c>
    </row>
    <row r="198" spans="1:22" x14ac:dyDescent="0.3">
      <c r="A198" t="s">
        <v>4</v>
      </c>
      <c r="B198">
        <f ca="1">'Modello P-C SJF'!$H204</f>
        <v>2.4582587654953878</v>
      </c>
      <c r="C198">
        <f t="shared" ca="1" si="9"/>
        <v>3.0784382253475795</v>
      </c>
      <c r="F198">
        <f t="shared" ca="1" si="10"/>
        <v>4.6031090730845728E-2</v>
      </c>
      <c r="V198">
        <f t="shared" ca="1" si="11"/>
        <v>2.1830820224934784</v>
      </c>
    </row>
    <row r="199" spans="1:22" x14ac:dyDescent="0.3">
      <c r="A199" t="s">
        <v>3</v>
      </c>
      <c r="B199">
        <f ca="1">'Modello P-C SJF'!$H205</f>
        <v>0.25116288253052738</v>
      </c>
      <c r="C199">
        <f t="shared" ca="1" si="9"/>
        <v>3.1865967308223655</v>
      </c>
      <c r="F199">
        <f t="shared" ca="1" si="10"/>
        <v>4.1312228600400208E-2</v>
      </c>
      <c r="V199">
        <f t="shared" ca="1" si="11"/>
        <v>0.53227273663683672</v>
      </c>
    </row>
    <row r="200" spans="1:22" x14ac:dyDescent="0.3">
      <c r="A200" t="s">
        <v>2</v>
      </c>
      <c r="B200">
        <f ca="1">'Modello P-C SJF'!$H206</f>
        <v>1.8351512750788597</v>
      </c>
      <c r="C200">
        <f t="shared" ca="1" si="9"/>
        <v>3.4197234585096998</v>
      </c>
      <c r="F200">
        <f t="shared" ca="1" si="10"/>
        <v>3.2721482535489441E-2</v>
      </c>
      <c r="V200">
        <f t="shared" ca="1" si="11"/>
        <v>0.7300303775968493</v>
      </c>
    </row>
    <row r="201" spans="1:22" x14ac:dyDescent="0.3">
      <c r="A201" t="s">
        <v>1</v>
      </c>
      <c r="B201">
        <f ca="1">'Modello P-C SJF'!$H207</f>
        <v>1.3446443531398178</v>
      </c>
      <c r="C201">
        <f t="shared" ca="1" si="9"/>
        <v>4.5659183442442561</v>
      </c>
      <c r="F201">
        <f t="shared" ca="1" si="10"/>
        <v>1.0400323742380558E-2</v>
      </c>
      <c r="V201">
        <f t="shared" ca="1" si="11"/>
        <v>0.13243138299382709</v>
      </c>
    </row>
    <row r="202" spans="1:22" x14ac:dyDescent="0.3">
      <c r="A202" t="s">
        <v>0</v>
      </c>
      <c r="B202">
        <f ca="1">'Modello P-C SJF'!$H208</f>
        <v>0.39361924628116685</v>
      </c>
      <c r="C202">
        <f t="shared" ca="1" si="9"/>
        <v>4.8102282695440834</v>
      </c>
      <c r="F202">
        <f t="shared" ca="1" si="10"/>
        <v>8.1460000017255889E-3</v>
      </c>
      <c r="V202">
        <f t="shared" ca="1" si="11"/>
        <v>0.34470270492640631</v>
      </c>
    </row>
    <row r="204" spans="1:22" x14ac:dyDescent="0.3">
      <c r="U204" t="s">
        <v>227</v>
      </c>
      <c r="V204">
        <f ca="1">SUM(V3:V202)</f>
        <v>134.86058371692744</v>
      </c>
    </row>
  </sheetData>
  <pageMargins left="0.7" right="0.7" top="0.75" bottom="0.75" header="0.3" footer="0.3"/>
  <pageSetup paperSize="9" orientation="portrait" horizontalDpi="300" verticalDpi="0" r:id="rId1"/>
  <ignoredErrors>
    <ignoredError sqref="K39:L39" formula="1"/>
  </ignoredErrors>
  <drawing r:id="rId2"/>
  <legacyDrawing r:id="rId3"/>
  <oleObjects>
    <mc:AlternateContent xmlns:mc="http://schemas.openxmlformats.org/markup-compatibility/2006">
      <mc:Choice Requires="x14">
        <oleObject shapeId="4098" r:id="rId4">
          <objectPr defaultSize="0" autoPict="0" r:id="rId5">
            <anchor moveWithCells="1" sizeWithCells="1">
              <from>
                <xdr:col>7</xdr:col>
                <xdr:colOff>15240</xdr:colOff>
                <xdr:row>18</xdr:row>
                <xdr:rowOff>15240</xdr:rowOff>
              </from>
              <to>
                <xdr:col>11</xdr:col>
                <xdr:colOff>304800</xdr:colOff>
                <xdr:row>21</xdr:row>
                <xdr:rowOff>160020</xdr:rowOff>
              </to>
            </anchor>
          </objectPr>
        </oleObject>
      </mc:Choice>
      <mc:Fallback>
        <oleObject shapeId="4098" r:id="rId4"/>
      </mc:Fallback>
    </mc:AlternateContent>
    <mc:AlternateContent xmlns:mc="http://schemas.openxmlformats.org/markup-compatibility/2006">
      <mc:Choice Requires="x14">
        <oleObject shapeId="4099" r:id="rId6">
          <objectPr defaultSize="0" autoPict="0" r:id="rId7">
            <anchor moveWithCells="1" sizeWithCells="1">
              <from>
                <xdr:col>15</xdr:col>
                <xdr:colOff>15240</xdr:colOff>
                <xdr:row>18</xdr:row>
                <xdr:rowOff>0</xdr:rowOff>
              </from>
              <to>
                <xdr:col>18</xdr:col>
                <xdr:colOff>236220</xdr:colOff>
                <xdr:row>22</xdr:row>
                <xdr:rowOff>30480</xdr:rowOff>
              </to>
            </anchor>
          </objectPr>
        </oleObject>
      </mc:Choice>
      <mc:Fallback>
        <oleObject shapeId="4099" r:id="rId6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5B69-FD08-4E30-983C-F6F46050F2B2}">
  <sheetPr codeName="Foglio5"/>
  <dimension ref="A1:AC265"/>
  <sheetViews>
    <sheetView zoomScale="80" zoomScaleNormal="80" workbookViewId="0">
      <selection activeCell="U50" sqref="U50"/>
    </sheetView>
  </sheetViews>
  <sheetFormatPr defaultRowHeight="14.4" x14ac:dyDescent="0.3"/>
  <cols>
    <col min="2" max="2" width="12.33203125" style="32" customWidth="1"/>
    <col min="3" max="3" width="12.6640625" style="33" customWidth="1"/>
    <col min="4" max="4" width="12.5546875" style="34" bestFit="1" customWidth="1"/>
    <col min="5" max="5" width="11.88671875" style="35" customWidth="1"/>
    <col min="7" max="7" width="12.21875" customWidth="1"/>
    <col min="8" max="8" width="18.5546875" customWidth="1"/>
  </cols>
  <sheetData>
    <row r="1" spans="1:5" x14ac:dyDescent="0.3">
      <c r="B1" s="36" t="s">
        <v>269</v>
      </c>
      <c r="C1" s="37" t="s">
        <v>201</v>
      </c>
      <c r="D1" s="38" t="s">
        <v>215</v>
      </c>
      <c r="E1" s="39" t="s">
        <v>214</v>
      </c>
    </row>
    <row r="2" spans="1:5" x14ac:dyDescent="0.3">
      <c r="B2" s="36" t="s">
        <v>265</v>
      </c>
      <c r="C2" s="37" t="s">
        <v>266</v>
      </c>
      <c r="D2" s="38" t="s">
        <v>267</v>
      </c>
      <c r="E2" s="39" t="s">
        <v>268</v>
      </c>
    </row>
    <row r="3" spans="1:5" x14ac:dyDescent="0.3">
      <c r="A3" t="s">
        <v>199</v>
      </c>
      <c r="B3" s="32">
        <f ca="1">'Confronto SJF - FIFO'!D9</f>
        <v>0.43711520171939677</v>
      </c>
      <c r="C3" s="33">
        <f ca="1">'Confronto SJF - FIFO'!H9</f>
        <v>0.1630268301352043</v>
      </c>
      <c r="D3" s="34">
        <f ca="1">'Confronto SJF - FIFO'!P9</f>
        <v>0</v>
      </c>
      <c r="E3" s="35">
        <f ca="1">'Confronto SJF - FIFO'!O9</f>
        <v>0.16302683013520436</v>
      </c>
    </row>
    <row r="4" spans="1:5" x14ac:dyDescent="0.3">
      <c r="A4" t="s">
        <v>198</v>
      </c>
      <c r="B4" s="32">
        <f ca="1">'Confronto SJF - FIFO'!D10</f>
        <v>2.0052778044218393</v>
      </c>
      <c r="C4" s="33">
        <f ca="1">'Confronto SJF - FIFO'!H10</f>
        <v>0.12492522153141586</v>
      </c>
      <c r="D4" s="34">
        <f ca="1">'Confronto SJF - FIFO'!P10</f>
        <v>0</v>
      </c>
      <c r="E4" s="35">
        <f ca="1">'Confronto SJF - FIFO'!O10</f>
        <v>0.12492522153141605</v>
      </c>
    </row>
    <row r="5" spans="1:5" x14ac:dyDescent="0.3">
      <c r="A5" t="s">
        <v>197</v>
      </c>
      <c r="B5" s="32">
        <f ca="1">'Confronto SJF - FIFO'!D11</f>
        <v>1.7520521740613202</v>
      </c>
      <c r="C5" s="33">
        <f ca="1">'Confronto SJF - FIFO'!H11</f>
        <v>1.099894123266038</v>
      </c>
      <c r="D5" s="34">
        <f ca="1">'Confronto SJF - FIFO'!P11</f>
        <v>0</v>
      </c>
      <c r="E5" s="35">
        <f ca="1">'Confronto SJF - FIFO'!O11</f>
        <v>1.0998941232660382</v>
      </c>
    </row>
    <row r="6" spans="1:5" x14ac:dyDescent="0.3">
      <c r="A6" t="s">
        <v>196</v>
      </c>
      <c r="B6" s="32">
        <f ca="1">'Confronto SJF - FIFO'!D12</f>
        <v>2.8020642130684905</v>
      </c>
      <c r="C6" s="33">
        <f ca="1">'Confronto SJF - FIFO'!H12</f>
        <v>0.22292617776071683</v>
      </c>
      <c r="D6" s="34">
        <f ca="1">'Confronto SJF - FIFO'!P12</f>
        <v>0</v>
      </c>
      <c r="E6" s="35">
        <f ca="1">'Confronto SJF - FIFO'!O12</f>
        <v>0.22292617776071655</v>
      </c>
    </row>
    <row r="7" spans="1:5" x14ac:dyDescent="0.3">
      <c r="A7" t="s">
        <v>195</v>
      </c>
      <c r="B7" s="32">
        <f ca="1">'Confronto SJF - FIFO'!D13</f>
        <v>0.72035772379527307</v>
      </c>
      <c r="C7" s="33">
        <f ca="1">'Confronto SJF - FIFO'!H13</f>
        <v>3.0784382253475795</v>
      </c>
      <c r="D7" s="34">
        <f ca="1">'Confronto SJF - FIFO'!P13</f>
        <v>0</v>
      </c>
      <c r="E7" s="35">
        <f ca="1">'Confronto SJF - FIFO'!O13</f>
        <v>3.078438225347579</v>
      </c>
    </row>
    <row r="8" spans="1:5" x14ac:dyDescent="0.3">
      <c r="A8" t="s">
        <v>194</v>
      </c>
      <c r="B8" s="32">
        <f ca="1">'Confronto SJF - FIFO'!D14</f>
        <v>0.23432620694155346</v>
      </c>
      <c r="C8" s="33">
        <f ca="1">'Confronto SJF - FIFO'!H14</f>
        <v>0.84999755760170759</v>
      </c>
      <c r="D8" s="34">
        <f ca="1">'Confronto SJF - FIFO'!P14</f>
        <v>2.844112</v>
      </c>
      <c r="E8" s="35">
        <f ca="1">'Confronto SJF - FIFO'!O14</f>
        <v>3.6941095760077332</v>
      </c>
    </row>
    <row r="9" spans="1:5" x14ac:dyDescent="0.3">
      <c r="A9" t="s">
        <v>193</v>
      </c>
      <c r="B9" s="32">
        <f ca="1">'Confronto SJF - FIFO'!D15</f>
        <v>0.9165582850391244</v>
      </c>
      <c r="C9" s="33">
        <f ca="1">'Confronto SJF - FIFO'!H15</f>
        <v>1.8916750693976851</v>
      </c>
      <c r="D9" s="34">
        <f ca="1">'Confronto SJF - FIFO'!P15</f>
        <v>2.7775509999999999</v>
      </c>
      <c r="E9" s="35">
        <f ca="1">'Confronto SJF - FIFO'!O15</f>
        <v>4.6692263603662933</v>
      </c>
    </row>
    <row r="10" spans="1:5" x14ac:dyDescent="0.3">
      <c r="A10" t="s">
        <v>192</v>
      </c>
      <c r="B10" s="32">
        <f ca="1">'Confronto SJF - FIFO'!D16</f>
        <v>1.175957705009933</v>
      </c>
      <c r="C10" s="33">
        <f ca="1">'Confronto SJF - FIFO'!H16</f>
        <v>0.38460590435169284</v>
      </c>
      <c r="D10" s="34">
        <f ca="1">'Confronto SJF - FIFO'!P16</f>
        <v>3.4932690000000002</v>
      </c>
      <c r="E10" s="35">
        <f ca="1">'Confronto SJF - FIFO'!O16</f>
        <v>3.8778745597080526</v>
      </c>
    </row>
    <row r="11" spans="1:5" x14ac:dyDescent="0.3">
      <c r="A11" t="s">
        <v>191</v>
      </c>
      <c r="B11" s="32">
        <f ca="1">'Confronto SJF - FIFO'!D17</f>
        <v>1.5564070688384215</v>
      </c>
      <c r="C11" s="33">
        <f ca="1">'Confronto SJF - FIFO'!H17</f>
        <v>2.4238232532262831</v>
      </c>
      <c r="D11" s="34">
        <f ca="1">'Confronto SJF - FIFO'!P17</f>
        <v>2.3214670000000002</v>
      </c>
      <c r="E11" s="35">
        <f ca="1">'Confronto SJF - FIFO'!O17</f>
        <v>4.7452907440959162</v>
      </c>
    </row>
    <row r="12" spans="1:5" x14ac:dyDescent="0.3">
      <c r="A12" t="s">
        <v>190</v>
      </c>
      <c r="B12" s="32">
        <f ca="1">'Confronto SJF - FIFO'!D18</f>
        <v>0.53346178741536621</v>
      </c>
      <c r="C12" s="33">
        <f ca="1">'Confronto SJF - FIFO'!H18</f>
        <v>0.19253325806886881</v>
      </c>
      <c r="D12" s="34">
        <f ca="1">'Confronto SJF - FIFO'!P18</f>
        <v>4.2118289999999998</v>
      </c>
      <c r="E12" s="35">
        <f ca="1">'Confronto SJF - FIFO'!O18</f>
        <v>4.4043622147494208</v>
      </c>
    </row>
    <row r="13" spans="1:5" x14ac:dyDescent="0.3">
      <c r="A13" t="s">
        <v>189</v>
      </c>
      <c r="B13" s="32">
        <f ca="1">'Confronto SJF - FIFO'!D19</f>
        <v>0.61431282058827419</v>
      </c>
      <c r="C13" s="33">
        <f ca="1">'Confronto SJF - FIFO'!H19</f>
        <v>0.42178072712672238</v>
      </c>
      <c r="D13" s="34">
        <f ca="1">'Confronto SJF - FIFO'!P19</f>
        <v>3.7900489999999998</v>
      </c>
      <c r="E13" s="35">
        <f ca="1">'Confronto SJF - FIFO'!O19</f>
        <v>4.2118301212878695</v>
      </c>
    </row>
    <row r="14" spans="1:5" x14ac:dyDescent="0.3">
      <c r="A14" t="s">
        <v>188</v>
      </c>
      <c r="B14" s="32">
        <f ca="1">'Confronto SJF - FIFO'!D20</f>
        <v>1.8580216334432982</v>
      </c>
      <c r="C14" s="33">
        <f ca="1">'Confronto SJF - FIFO'!H20</f>
        <v>2.8495650491379494</v>
      </c>
      <c r="D14" s="34">
        <f ca="1">'Confronto SJF - FIFO'!P20</f>
        <v>2.3538079999999999</v>
      </c>
      <c r="E14" s="35">
        <f ca="1">'Confronto SJF - FIFO'!O20</f>
        <v>5.2033735369825216</v>
      </c>
    </row>
    <row r="15" spans="1:5" x14ac:dyDescent="0.3">
      <c r="A15" t="s">
        <v>187</v>
      </c>
      <c r="B15" s="32">
        <f ca="1">'Confronto SJF - FIFO'!D21</f>
        <v>9.6958388053781486E-2</v>
      </c>
      <c r="C15" s="33">
        <f ca="1">'Confronto SJF - FIFO'!H21</f>
        <v>0.6103188125865765</v>
      </c>
      <c r="D15" s="34">
        <f ca="1">'Confronto SJF - FIFO'!P21</f>
        <v>5.1064150000000001</v>
      </c>
      <c r="E15" s="35">
        <f ca="1">'Confronto SJF - FIFO'!O21</f>
        <v>5.7167339615153168</v>
      </c>
    </row>
    <row r="16" spans="1:5" x14ac:dyDescent="0.3">
      <c r="A16" t="s">
        <v>186</v>
      </c>
      <c r="B16" s="32">
        <f ca="1">'Confronto SJF - FIFO'!D22</f>
        <v>0.65752450077313007</v>
      </c>
      <c r="C16" s="33">
        <f ca="1">'Confronto SJF - FIFO'!H22</f>
        <v>1.3340281009434016</v>
      </c>
      <c r="D16" s="34">
        <f ca="1">'Confronto SJF - FIFO'!P22</f>
        <v>5.0592090000000001</v>
      </c>
      <c r="E16" s="35">
        <f ca="1">'Confronto SJF - FIFO'!O22</f>
        <v>6.3932375616855897</v>
      </c>
    </row>
    <row r="17" spans="1:29" x14ac:dyDescent="0.3">
      <c r="A17" t="s">
        <v>185</v>
      </c>
      <c r="B17" s="32">
        <f ca="1">'Confronto SJF - FIFO'!D23</f>
        <v>1.5520756349051883</v>
      </c>
      <c r="C17" s="33">
        <f ca="1">'Confronto SJF - FIFO'!H23</f>
        <v>1.3604587914161461</v>
      </c>
      <c r="D17" s="34">
        <f ca="1">'Confronto SJF - FIFO'!P23</f>
        <v>4.8411619999999997</v>
      </c>
      <c r="E17" s="35">
        <f ca="1">'Confronto SJF - FIFO'!O23</f>
        <v>6.2016207181965477</v>
      </c>
    </row>
    <row r="18" spans="1:29" x14ac:dyDescent="0.3">
      <c r="A18" t="s">
        <v>184</v>
      </c>
      <c r="B18" s="32">
        <f ca="1">'Confronto SJF - FIFO'!D24</f>
        <v>1.3402555674646139E-2</v>
      </c>
      <c r="C18" s="33">
        <f ca="1">'Confronto SJF - FIFO'!H24</f>
        <v>0.63122735479312486</v>
      </c>
      <c r="D18" s="34">
        <f ca="1">'Confronto SJF - FIFO'!P24</f>
        <v>6.188218</v>
      </c>
      <c r="E18" s="35">
        <f ca="1">'Confronto SJF - FIFO'!O24</f>
        <v>6.8194455173150281</v>
      </c>
      <c r="G18" s="10" t="s">
        <v>270</v>
      </c>
      <c r="H18" s="10"/>
      <c r="I18" s="10"/>
      <c r="J18" s="10">
        <f ca="1" xml:space="preserve"> PEARSON(B3:B202,C3:C202)</f>
        <v>4.5333909528966435E-3</v>
      </c>
      <c r="K18" s="10"/>
      <c r="L18" s="10" t="str">
        <f ca="1">IF((J18^2)&lt;0.04,"NON CORRELATI","CORRELATI")</f>
        <v>NON CORRELATI</v>
      </c>
      <c r="M18" s="10"/>
      <c r="O18" s="10" t="s">
        <v>270</v>
      </c>
      <c r="P18" s="10"/>
      <c r="Q18" s="10"/>
      <c r="R18" s="10">
        <f ca="1" xml:space="preserve"> PEARSON(B3:B202,D3:D202)</f>
        <v>-0.16933538154416003</v>
      </c>
      <c r="S18" s="10"/>
      <c r="T18" s="10" t="str">
        <f ca="1">IF((R18^2)&lt;0.04,"NON CORRELATI","CORRELATI")</f>
        <v>NON CORRELATI</v>
      </c>
      <c r="U18" s="10"/>
      <c r="W18" s="10" t="s">
        <v>270</v>
      </c>
      <c r="X18" s="10"/>
      <c r="Y18" s="10"/>
      <c r="Z18" s="10">
        <f ca="1" xml:space="preserve"> PEARSON(B3:B202,E3:E202)</f>
        <v>-0.16727128703956365</v>
      </c>
      <c r="AA18" s="10"/>
      <c r="AB18" s="10" t="str">
        <f ca="1">IF((Z18^2)&lt;0.04,"NON CORRELATI","CORRELATI")</f>
        <v>NON CORRELATI</v>
      </c>
      <c r="AC18" s="10"/>
    </row>
    <row r="19" spans="1:29" x14ac:dyDescent="0.3">
      <c r="A19" t="s">
        <v>183</v>
      </c>
      <c r="B19" s="32">
        <f ca="1">'Confronto SJF - FIFO'!D25</f>
        <v>3.5534321138923302</v>
      </c>
      <c r="C19" s="33">
        <f ca="1">'Confronto SJF - FIFO'!H25</f>
        <v>0.78153818504112516</v>
      </c>
      <c r="D19" s="34">
        <f ca="1">'Confronto SJF - FIFO'!P25</f>
        <v>3.2660130000000001</v>
      </c>
      <c r="E19" s="35">
        <f ca="1">'Confronto SJF - FIFO'!O25</f>
        <v>4.047551588463822</v>
      </c>
    </row>
    <row r="20" spans="1:29" x14ac:dyDescent="0.3">
      <c r="A20" t="s">
        <v>182</v>
      </c>
      <c r="B20" s="32">
        <f ca="1">'Confronto SJF - FIFO'!D26</f>
        <v>0.13006031963243403</v>
      </c>
      <c r="C20" s="33">
        <f ca="1">'Confronto SJF - FIFO'!H26</f>
        <v>0.54405768511585817</v>
      </c>
      <c r="D20" s="34">
        <f ca="1">'Confronto SJF - FIFO'!P26</f>
        <v>3.9174910000000001</v>
      </c>
      <c r="E20" s="35">
        <f ca="1">'Confronto SJF - FIFO'!O26</f>
        <v>4.461548953947247</v>
      </c>
    </row>
    <row r="21" spans="1:29" x14ac:dyDescent="0.3">
      <c r="A21" t="s">
        <v>181</v>
      </c>
      <c r="B21" s="32">
        <f ca="1">'Confronto SJF - FIFO'!D27</f>
        <v>0.47759252182808487</v>
      </c>
      <c r="C21" s="33">
        <f ca="1">'Confronto SJF - FIFO'!H27</f>
        <v>1.5855182867319852</v>
      </c>
      <c r="D21" s="34">
        <f ca="1">'Confronto SJF - FIFO'!P27</f>
        <v>3.9839560000000001</v>
      </c>
      <c r="E21" s="35">
        <f ca="1">'Confronto SJF - FIFO'!O27</f>
        <v>5.5694747188511471</v>
      </c>
    </row>
    <row r="22" spans="1:29" x14ac:dyDescent="0.3">
      <c r="A22" t="s">
        <v>180</v>
      </c>
      <c r="B22" s="32">
        <f ca="1">'Confronto SJF - FIFO'!D28</f>
        <v>0.7297231761350601</v>
      </c>
      <c r="C22" s="33">
        <f ca="1">'Confronto SJF - FIFO'!H28</f>
        <v>1.0569723159624804</v>
      </c>
      <c r="D22" s="34">
        <f ca="1">'Confronto SJF - FIFO'!P28</f>
        <v>4.8397519999999998</v>
      </c>
      <c r="E22" s="35">
        <f ca="1">'Confronto SJF - FIFO'!O28</f>
        <v>5.8967238586785662</v>
      </c>
    </row>
    <row r="23" spans="1:29" x14ac:dyDescent="0.3">
      <c r="A23" t="s">
        <v>179</v>
      </c>
      <c r="B23" s="32">
        <f ca="1">'Confronto SJF - FIFO'!D29</f>
        <v>3.6321735688303884</v>
      </c>
      <c r="C23" s="33">
        <f ca="1">'Confronto SJF - FIFO'!H29</f>
        <v>0.38639622248782279</v>
      </c>
      <c r="D23" s="34">
        <f ca="1">'Confronto SJF - FIFO'!P29</f>
        <v>2.2645499999999998</v>
      </c>
      <c r="E23" s="35">
        <f ca="1">'Confronto SJF - FIFO'!O29</f>
        <v>2.6509465123359988</v>
      </c>
    </row>
    <row r="24" spans="1:29" x14ac:dyDescent="0.3">
      <c r="A24" t="s">
        <v>178</v>
      </c>
      <c r="B24" s="32">
        <f ca="1">'Confronto SJF - FIFO'!D30</f>
        <v>0.59201303374234882</v>
      </c>
      <c r="C24" s="33">
        <f ca="1">'Confronto SJF - FIFO'!H30</f>
        <v>0.25395536467794155</v>
      </c>
      <c r="D24" s="34">
        <f ca="1">'Confronto SJF - FIFO'!P30</f>
        <v>2.0589330000000001</v>
      </c>
      <c r="E24" s="35">
        <f ca="1">'Confronto SJF - FIFO'!O30</f>
        <v>2.3128888432715939</v>
      </c>
    </row>
    <row r="25" spans="1:29" x14ac:dyDescent="0.3">
      <c r="A25" t="s">
        <v>177</v>
      </c>
      <c r="B25" s="32">
        <f ca="1">'Confronto SJF - FIFO'!D31</f>
        <v>1.5813912778050025</v>
      </c>
      <c r="C25" s="33">
        <f ca="1">'Confronto SJF - FIFO'!H31</f>
        <v>0.2615390977573806</v>
      </c>
      <c r="D25" s="34">
        <f ca="1">'Confronto SJF - FIFO'!P31</f>
        <v>0.73149799999999998</v>
      </c>
      <c r="E25" s="35">
        <f ca="1">'Confronto SJF - FIFO'!O31</f>
        <v>0.99303666322397177</v>
      </c>
    </row>
    <row r="26" spans="1:29" x14ac:dyDescent="0.3">
      <c r="A26" t="s">
        <v>176</v>
      </c>
      <c r="B26" s="32">
        <f ca="1">'Confronto SJF - FIFO'!D32</f>
        <v>0.19894015037996277</v>
      </c>
      <c r="C26" s="33">
        <f ca="1">'Confronto SJF - FIFO'!H32</f>
        <v>1.0284097879273535</v>
      </c>
      <c r="D26" s="34">
        <f ca="1">'Confronto SJF - FIFO'!P32</f>
        <v>0.79409700000000005</v>
      </c>
      <c r="E26" s="35">
        <f ca="1">'Confronto SJF - FIFO'!O32</f>
        <v>1.8225063007713658</v>
      </c>
    </row>
    <row r="27" spans="1:29" x14ac:dyDescent="0.3">
      <c r="A27" t="s">
        <v>175</v>
      </c>
      <c r="B27" s="32">
        <f ca="1">'Confronto SJF - FIFO'!D33</f>
        <v>1.3377016743093204</v>
      </c>
      <c r="C27" s="33">
        <f ca="1">'Confronto SJF - FIFO'!H33</f>
        <v>0.66596535845418936</v>
      </c>
      <c r="D27" s="34">
        <f ca="1">'Confronto SJF - FIFO'!P33</f>
        <v>0.48480499999999999</v>
      </c>
      <c r="E27" s="35">
        <f ca="1">'Confronto SJF - FIFO'!O33</f>
        <v>1.1507699849162343</v>
      </c>
    </row>
    <row r="28" spans="1:29" x14ac:dyDescent="0.3">
      <c r="A28" t="s">
        <v>174</v>
      </c>
      <c r="B28" s="32">
        <f ca="1">'Confronto SJF - FIFO'!D34</f>
        <v>0.66270388392557045</v>
      </c>
      <c r="C28" s="33">
        <f ca="1">'Confronto SJF - FIFO'!H34</f>
        <v>0.86974474619687037</v>
      </c>
      <c r="D28" s="34">
        <f ca="1">'Confronto SJF - FIFO'!P34</f>
        <v>0.488066</v>
      </c>
      <c r="E28" s="35">
        <f ca="1">'Confronto SJF - FIFO'!O34</f>
        <v>1.3578108471875332</v>
      </c>
    </row>
    <row r="29" spans="1:29" x14ac:dyDescent="0.3">
      <c r="A29" t="s">
        <v>173</v>
      </c>
      <c r="B29" s="32">
        <f ca="1">'Confronto SJF - FIFO'!D35</f>
        <v>1.2629767812131345</v>
      </c>
      <c r="C29" s="33">
        <f ca="1">'Confronto SJF - FIFO'!H35</f>
        <v>0.81413422960942816</v>
      </c>
      <c r="D29" s="34">
        <f ca="1">'Confronto SJF - FIFO'!P35</f>
        <v>9.4834000000000002E-2</v>
      </c>
      <c r="E29" s="35">
        <f ca="1">'Confronto SJF - FIFO'!O35</f>
        <v>0.90896829558382919</v>
      </c>
    </row>
    <row r="30" spans="1:29" x14ac:dyDescent="0.3">
      <c r="A30" t="s">
        <v>172</v>
      </c>
      <c r="B30" s="32">
        <f ca="1">'Confronto SJF - FIFO'!D36</f>
        <v>1.4552289926474684</v>
      </c>
      <c r="C30" s="33">
        <f ca="1">'Confronto SJF - FIFO'!H36</f>
        <v>0.11163250697415447</v>
      </c>
      <c r="D30" s="34">
        <f ca="1">'Confronto SJF - FIFO'!P36</f>
        <v>0</v>
      </c>
      <c r="E30" s="35">
        <f ca="1">'Confronto SJF - FIFO'!O36</f>
        <v>0.1116325069741535</v>
      </c>
    </row>
    <row r="31" spans="1:29" x14ac:dyDescent="0.3">
      <c r="A31" t="s">
        <v>171</v>
      </c>
      <c r="B31" s="32">
        <f ca="1">'Confronto SJF - FIFO'!D37</f>
        <v>0.32404540900233986</v>
      </c>
      <c r="C31" s="33">
        <f ca="1">'Confronto SJF - FIFO'!H37</f>
        <v>0.32761426824205792</v>
      </c>
      <c r="D31" s="34">
        <f ca="1">'Confronto SJF - FIFO'!P37</f>
        <v>0</v>
      </c>
      <c r="E31" s="35">
        <f ca="1">'Confronto SJF - FIFO'!O37</f>
        <v>0.32761426824205842</v>
      </c>
    </row>
    <row r="32" spans="1:29" x14ac:dyDescent="0.3">
      <c r="A32" t="s">
        <v>170</v>
      </c>
      <c r="B32" s="32">
        <f ca="1">'Confronto SJF - FIFO'!D38</f>
        <v>2.449819120016588</v>
      </c>
      <c r="C32" s="33">
        <f ca="1">'Confronto SJF - FIFO'!H38</f>
        <v>0.34670793164829561</v>
      </c>
      <c r="D32" s="34">
        <f ca="1">'Confronto SJF - FIFO'!P38</f>
        <v>0</v>
      </c>
      <c r="E32" s="35">
        <f ca="1">'Confronto SJF - FIFO'!O38</f>
        <v>0.34670793164829661</v>
      </c>
    </row>
    <row r="33" spans="1:29" x14ac:dyDescent="0.3">
      <c r="A33" t="s">
        <v>169</v>
      </c>
      <c r="B33" s="32">
        <f ca="1">'Confronto SJF - FIFO'!D39</f>
        <v>0.72840613293362289</v>
      </c>
      <c r="C33" s="33">
        <f ca="1">'Confronto SJF - FIFO'!H39</f>
        <v>2.3754649172683542</v>
      </c>
      <c r="D33" s="34">
        <f ca="1">'Confronto SJF - FIFO'!P39</f>
        <v>0</v>
      </c>
      <c r="E33" s="35">
        <f ca="1">'Confronto SJF - FIFO'!O39</f>
        <v>2.3754649172683528</v>
      </c>
    </row>
    <row r="34" spans="1:29" x14ac:dyDescent="0.3">
      <c r="A34" t="s">
        <v>168</v>
      </c>
      <c r="B34" s="32">
        <f ca="1">'Confronto SJF - FIFO'!D40</f>
        <v>2.2657094926113501E-2</v>
      </c>
      <c r="C34" s="33">
        <f ca="1">'Confronto SJF - FIFO'!H40</f>
        <v>2.1887842735422947</v>
      </c>
      <c r="D34" s="34">
        <f ca="1">'Confronto SJF - FIFO'!P40</f>
        <v>2.352808</v>
      </c>
      <c r="E34" s="35">
        <f ca="1">'Confronto SJF - FIFO'!O40</f>
        <v>4.541592095884539</v>
      </c>
    </row>
    <row r="35" spans="1:29" x14ac:dyDescent="0.3">
      <c r="A35" t="s">
        <v>167</v>
      </c>
      <c r="B35" s="32">
        <f ca="1">'Confronto SJF - FIFO'!D41</f>
        <v>0.26726341171447365</v>
      </c>
      <c r="C35" s="33">
        <f ca="1">'Confronto SJF - FIFO'!H41</f>
        <v>1.6088468836086005</v>
      </c>
      <c r="D35" s="34">
        <f ca="1">'Confronto SJF - FIFO'!P41</f>
        <v>4.2743289999999998</v>
      </c>
      <c r="E35" s="35">
        <f ca="1">'Confronto SJF - FIFO'!O41</f>
        <v>5.8831755677786646</v>
      </c>
    </row>
    <row r="36" spans="1:29" x14ac:dyDescent="0.3">
      <c r="A36" t="s">
        <v>166</v>
      </c>
      <c r="B36" s="32">
        <f ca="1">'Confronto SJF - FIFO'!D42</f>
        <v>0.19171801149732456</v>
      </c>
      <c r="C36" s="33">
        <f ca="1">'Confronto SJF - FIFO'!H42</f>
        <v>1.9874166350091298</v>
      </c>
      <c r="D36" s="34">
        <f ca="1">'Confronto SJF - FIFO'!P42</f>
        <v>5.6914579999999999</v>
      </c>
      <c r="E36" s="35">
        <f ca="1">'Confronto SJF - FIFO'!O42</f>
        <v>7.6788741912904754</v>
      </c>
    </row>
    <row r="37" spans="1:29" x14ac:dyDescent="0.3">
      <c r="A37" t="s">
        <v>165</v>
      </c>
      <c r="B37" s="32">
        <f ca="1">'Confronto SJF - FIFO'!D43</f>
        <v>1.4202649578856954</v>
      </c>
      <c r="C37" s="33">
        <f ca="1">'Confronto SJF - FIFO'!H43</f>
        <v>1.857529160688455</v>
      </c>
      <c r="D37" s="34">
        <f ca="1">'Confronto SJF - FIFO'!P43</f>
        <v>6.2586089999999999</v>
      </c>
      <c r="E37" s="35">
        <f ca="1">'Confronto SJF - FIFO'!O43</f>
        <v>8.116138394093241</v>
      </c>
      <c r="G37" s="10" t="s">
        <v>270</v>
      </c>
      <c r="H37" s="10"/>
      <c r="I37" s="10"/>
      <c r="J37" s="10">
        <f ca="1" xml:space="preserve"> PEARSON(C3:C202,D3:D202)</f>
        <v>-5.5166971765769159E-2</v>
      </c>
      <c r="K37" s="10"/>
      <c r="L37" s="10" t="str">
        <f ca="1">IF((J37^2)&lt;0.04,"NON CORRELATI","CORRELATI")</f>
        <v>NON CORRELATI</v>
      </c>
      <c r="M37" s="10"/>
      <c r="O37" s="10" t="s">
        <v>270</v>
      </c>
      <c r="P37" s="10"/>
      <c r="Q37" s="10"/>
      <c r="R37" s="10">
        <f ca="1" xml:space="preserve"> PEARSON(C3:C202,E3:E202)</f>
        <v>0.13169250427072124</v>
      </c>
      <c r="S37" s="10"/>
      <c r="T37" s="10" t="str">
        <f ca="1">IF((R37^2)&lt;0.04,"NON CORRELATI","CORRELATI")</f>
        <v>NON CORRELATI</v>
      </c>
      <c r="U37" s="10"/>
      <c r="W37" s="10" t="s">
        <v>270</v>
      </c>
      <c r="X37" s="10"/>
      <c r="Y37" s="10"/>
      <c r="Z37" s="10">
        <f ca="1" xml:space="preserve"> PEARSON(D3:D202,E3:E202)</f>
        <v>0.98251594501823414</v>
      </c>
      <c r="AA37" s="10"/>
      <c r="AB37" s="10" t="str">
        <f ca="1">IF((Z37^2)&lt;0.04,"NON CORRELATI","CORRELATI")</f>
        <v>CORRELATI</v>
      </c>
      <c r="AC37" s="10"/>
    </row>
    <row r="38" spans="1:29" x14ac:dyDescent="0.3">
      <c r="A38" t="s">
        <v>164</v>
      </c>
      <c r="B38" s="32">
        <f ca="1">'Confronto SJF - FIFO'!D44</f>
        <v>0.77702191653927233</v>
      </c>
      <c r="C38" s="33">
        <f ca="1">'Confronto SJF - FIFO'!H44</f>
        <v>4.8102282695440834</v>
      </c>
      <c r="D38" s="34">
        <f ca="1">'Confronto SJF - FIFO'!P44</f>
        <v>7.3391159999999998</v>
      </c>
      <c r="E38" s="35">
        <f ca="1">'Confronto SJF - FIFO'!O44</f>
        <v>12.149344747098056</v>
      </c>
    </row>
    <row r="39" spans="1:29" x14ac:dyDescent="0.3">
      <c r="A39" t="s">
        <v>163</v>
      </c>
      <c r="B39" s="32">
        <f ca="1">'Confronto SJF - FIFO'!D45</f>
        <v>7.4353298936563741E-2</v>
      </c>
      <c r="C39" s="33">
        <f ca="1">'Confronto SJF - FIFO'!H45</f>
        <v>0.14662797683364343</v>
      </c>
      <c r="D39" s="34">
        <f ca="1">'Confronto SJF - FIFO'!P45</f>
        <v>12.074991000000001</v>
      </c>
      <c r="E39" s="35">
        <f ca="1">'Confronto SJF - FIFO'!O45</f>
        <v>12.221619424995133</v>
      </c>
    </row>
    <row r="40" spans="1:29" x14ac:dyDescent="0.3">
      <c r="A40" t="s">
        <v>162</v>
      </c>
      <c r="B40" s="32">
        <f ca="1">'Confronto SJF - FIFO'!D46</f>
        <v>0.22501134677517304</v>
      </c>
      <c r="C40" s="33">
        <f ca="1">'Confronto SJF - FIFO'!H46</f>
        <v>0.56551933956918721</v>
      </c>
      <c r="D40" s="34">
        <f ca="1">'Confronto SJF - FIFO'!P46</f>
        <v>11.996608</v>
      </c>
      <c r="E40" s="35">
        <f ca="1">'Confronto SJF - FIFO'!O46</f>
        <v>12.562127417789142</v>
      </c>
      <c r="G40" s="44" t="s">
        <v>274</v>
      </c>
      <c r="H40" s="44"/>
      <c r="I40" s="44"/>
      <c r="J40" s="55" t="s">
        <v>279</v>
      </c>
    </row>
    <row r="41" spans="1:29" x14ac:dyDescent="0.3">
      <c r="A41" t="s">
        <v>161</v>
      </c>
      <c r="B41" s="32">
        <f ca="1">'Confronto SJF - FIFO'!D47</f>
        <v>1.2157931112469933</v>
      </c>
      <c r="C41" s="33">
        <f ca="1">'Confronto SJF - FIFO'!H47</f>
        <v>1.6607351279033609</v>
      </c>
      <c r="D41" s="34">
        <f ca="1">'Confronto SJF - FIFO'!P47</f>
        <v>11.346334000000001</v>
      </c>
      <c r="E41" s="35">
        <f ca="1">'Confronto SJF - FIFO'!O47</f>
        <v>13.007069434445505</v>
      </c>
      <c r="J41" s="56" t="s">
        <v>280</v>
      </c>
      <c r="N41">
        <f ca="1">COVAR(D3:D202,E3:E202)/VAR(D3:D202)</f>
        <v>0.98469066865259192</v>
      </c>
    </row>
    <row r="42" spans="1:29" x14ac:dyDescent="0.3">
      <c r="A42" t="s">
        <v>160</v>
      </c>
      <c r="B42" s="32">
        <f ca="1">'Confronto SJF - FIFO'!D48</f>
        <v>1.0279736943430557</v>
      </c>
      <c r="C42" s="33">
        <f ca="1">'Confronto SJF - FIFO'!H48</f>
        <v>0.18595752748526523</v>
      </c>
      <c r="D42" s="34">
        <f ca="1">'Confronto SJF - FIFO'!P48</f>
        <v>11.979096</v>
      </c>
      <c r="E42" s="35">
        <f ca="1">'Confronto SJF - FIFO'!O48</f>
        <v>12.165053267587716</v>
      </c>
      <c r="G42" s="19" t="s">
        <v>277</v>
      </c>
      <c r="H42" s="19" t="s">
        <v>278</v>
      </c>
    </row>
    <row r="43" spans="1:29" x14ac:dyDescent="0.3">
      <c r="A43" t="s">
        <v>159</v>
      </c>
      <c r="B43" s="32">
        <f ca="1">'Confronto SJF - FIFO'!D49</f>
        <v>4.1805189812423782</v>
      </c>
      <c r="C43" s="33">
        <f ca="1">'Confronto SJF - FIFO'!H49</f>
        <v>0.61087468676940793</v>
      </c>
      <c r="D43" s="34">
        <f ca="1">'Confronto SJF - FIFO'!P49</f>
        <v>7.984534</v>
      </c>
      <c r="E43" s="35">
        <f ca="1">'Confronto SJF - FIFO'!O49</f>
        <v>8.5954089731147434</v>
      </c>
      <c r="G43">
        <f t="shared" ref="G43:G74" ca="1" si="0">($D3-$D$205)^2</f>
        <v>42.979465547430749</v>
      </c>
      <c r="H43">
        <f t="shared" ref="H43:H74" ca="1" si="1">($D3-$D$205)*($E3-$E$205)</f>
        <v>48.340243674256463</v>
      </c>
    </row>
    <row r="44" spans="1:29" x14ac:dyDescent="0.3">
      <c r="A44" t="s">
        <v>158</v>
      </c>
      <c r="B44" s="32">
        <f ca="1">'Confronto SJF - FIFO'!D50</f>
        <v>1.836282458246562</v>
      </c>
      <c r="C44" s="33">
        <f ca="1">'Confronto SJF - FIFO'!H50</f>
        <v>0.40709142507902857</v>
      </c>
      <c r="D44" s="34">
        <f ca="1">'Confronto SJF - FIFO'!P50</f>
        <v>6.7591270000000003</v>
      </c>
      <c r="E44" s="35">
        <f ca="1">'Confronto SJF - FIFO'!O50</f>
        <v>7.1662179399472095</v>
      </c>
      <c r="G44">
        <f t="shared" ca="1" si="0"/>
        <v>42.979465547430749</v>
      </c>
      <c r="H44">
        <f t="shared" ca="1" si="1"/>
        <v>48.59003296611796</v>
      </c>
    </row>
    <row r="45" spans="1:29" x14ac:dyDescent="0.3">
      <c r="A45" t="s">
        <v>157</v>
      </c>
      <c r="B45" s="32">
        <f ca="1">'Confronto SJF - FIFO'!D51</f>
        <v>8.2496570356666396E-2</v>
      </c>
      <c r="C45" s="33">
        <f ca="1">'Confronto SJF - FIFO'!H51</f>
        <v>1.7473991649057752</v>
      </c>
      <c r="D45" s="34">
        <f ca="1">'Confronto SJF - FIFO'!P51</f>
        <v>7.0837209999999997</v>
      </c>
      <c r="E45" s="35">
        <f ca="1">'Confronto SJF - FIFO'!O51</f>
        <v>8.8311205344963142</v>
      </c>
      <c r="G45">
        <f t="shared" ca="1" si="0"/>
        <v>42.979465547430749</v>
      </c>
      <c r="H45">
        <f t="shared" ca="1" si="1"/>
        <v>42.19826105738386</v>
      </c>
      <c r="N45">
        <f ca="1">E205-(P57*D205)</f>
        <v>1.0486593939756421</v>
      </c>
    </row>
    <row r="46" spans="1:29" x14ac:dyDescent="0.3">
      <c r="A46" t="s">
        <v>156</v>
      </c>
      <c r="B46" s="32">
        <f ca="1">'Confronto SJF - FIFO'!D52</f>
        <v>0.52271854262889073</v>
      </c>
      <c r="C46" s="33">
        <f ca="1">'Confronto SJF - FIFO'!H52</f>
        <v>7.740692396311713E-2</v>
      </c>
      <c r="D46" s="34">
        <f ca="1">'Confronto SJF - FIFO'!P52</f>
        <v>8.3084019999999992</v>
      </c>
      <c r="E46" s="35">
        <f ca="1">'Confronto SJF - FIFO'!O52</f>
        <v>8.3858089158305376</v>
      </c>
      <c r="G46">
        <f t="shared" ca="1" si="0"/>
        <v>42.979465547430749</v>
      </c>
      <c r="H46">
        <f t="shared" ca="1" si="1"/>
        <v>47.947551182400488</v>
      </c>
    </row>
    <row r="47" spans="1:29" x14ac:dyDescent="0.3">
      <c r="A47" t="s">
        <v>155</v>
      </c>
      <c r="B47" s="32">
        <f ca="1">'Confronto SJF - FIFO'!D53</f>
        <v>6.6118654073616098E-2</v>
      </c>
      <c r="C47" s="33">
        <f ca="1">'Confronto SJF - FIFO'!H53</f>
        <v>0.50741326409748944</v>
      </c>
      <c r="D47" s="34">
        <f ca="1">'Confronto SJF - FIFO'!P53</f>
        <v>8.3196899999999996</v>
      </c>
      <c r="E47" s="35">
        <f ca="1">'Confronto SJF - FIFO'!O53</f>
        <v>8.8271035258544046</v>
      </c>
      <c r="G47">
        <f t="shared" ca="1" si="0"/>
        <v>42.979465547430749</v>
      </c>
      <c r="H47">
        <f t="shared" ca="1" si="1"/>
        <v>29.227177990655886</v>
      </c>
    </row>
    <row r="48" spans="1:29" x14ac:dyDescent="0.3">
      <c r="A48" t="s">
        <v>154</v>
      </c>
      <c r="B48" s="32">
        <f ca="1">'Confronto SJF - FIFO'!D54</f>
        <v>0.12023859214679512</v>
      </c>
      <c r="C48" s="33">
        <f ca="1">'Confronto SJF - FIFO'!H54</f>
        <v>1.3759039089946299</v>
      </c>
      <c r="D48" s="34">
        <f ca="1">'Confronto SJF - FIFO'!P54</f>
        <v>8.7068650000000005</v>
      </c>
      <c r="E48" s="35">
        <f ca="1">'Confronto SJF - FIFO'!O54</f>
        <v>10.082768842702237</v>
      </c>
      <c r="G48">
        <f t="shared" ca="1" si="0"/>
        <v>13.777166751712352</v>
      </c>
      <c r="H48">
        <f t="shared" ca="1" si="1"/>
        <v>14.262425717198674</v>
      </c>
    </row>
    <row r="49" spans="1:16" x14ac:dyDescent="0.3">
      <c r="A49" t="s">
        <v>153</v>
      </c>
      <c r="B49" s="32">
        <f ca="1">'Confronto SJF - FIFO'!D55</f>
        <v>0.3897698308568322</v>
      </c>
      <c r="C49" s="33">
        <f ca="1">'Confronto SJF - FIFO'!H55</f>
        <v>0.44809079404533175</v>
      </c>
      <c r="D49" s="34">
        <f ca="1">'Confronto SJF - FIFO'!P55</f>
        <v>9.6929990000000004</v>
      </c>
      <c r="E49" s="35">
        <f ca="1">'Confronto SJF - FIFO'!O55</f>
        <v>10.141089805890736</v>
      </c>
      <c r="G49">
        <f t="shared" ca="1" si="0"/>
        <v>14.275714113026552</v>
      </c>
      <c r="H49">
        <f t="shared" ca="1" si="1"/>
        <v>10.833881292816542</v>
      </c>
    </row>
    <row r="50" spans="1:16" x14ac:dyDescent="0.3">
      <c r="A50" t="s">
        <v>152</v>
      </c>
      <c r="B50" s="32">
        <f ca="1">'Confronto SJF - FIFO'!D56</f>
        <v>2.220732939132867</v>
      </c>
      <c r="C50" s="33">
        <f ca="1">'Confronto SJF - FIFO'!H56</f>
        <v>1.7393065038129789</v>
      </c>
      <c r="D50" s="34">
        <f ca="1">'Confronto SJF - FIFO'!P56</f>
        <v>7.9203570000000001</v>
      </c>
      <c r="E50" s="35">
        <f ca="1">'Confronto SJF - FIFO'!O56</f>
        <v>9.659663370570847</v>
      </c>
      <c r="G50">
        <f t="shared" ca="1" si="0"/>
        <v>9.3795408107329532</v>
      </c>
      <c r="H50">
        <f t="shared" ca="1" si="1"/>
        <v>11.205243160462018</v>
      </c>
      <c r="N50" s="71">
        <f ca="1">(K265-(D205*E205))/((SQRT(L265-(D205^2))*(SQRT(M265-(E205)^2))))</f>
        <v>0.98251594501823403</v>
      </c>
      <c r="P50" t="s">
        <v>283</v>
      </c>
    </row>
    <row r="51" spans="1:16" x14ac:dyDescent="0.3">
      <c r="A51" t="s">
        <v>151</v>
      </c>
      <c r="B51" s="32">
        <f ca="1">'Confronto SJF - FIFO'!D57</f>
        <v>0.3688079125299088</v>
      </c>
      <c r="C51" s="33">
        <f ca="1">'Confronto SJF - FIFO'!H57</f>
        <v>0.27935710116008022</v>
      </c>
      <c r="D51" s="34">
        <f ca="1">'Confronto SJF - FIFO'!P57</f>
        <v>9.2908550000000005</v>
      </c>
      <c r="E51" s="35">
        <f ca="1">'Confronto SJF - FIFO'!O57</f>
        <v>9.5702125592010177</v>
      </c>
      <c r="G51">
        <f t="shared" ca="1" si="0"/>
        <v>17.93019078531135</v>
      </c>
      <c r="H51">
        <f t="shared" ca="1" si="1"/>
        <v>11.819559678945874</v>
      </c>
    </row>
    <row r="52" spans="1:16" x14ac:dyDescent="0.3">
      <c r="A52" t="s">
        <v>150</v>
      </c>
      <c r="B52" s="32">
        <f ca="1">'Confronto SJF - FIFO'!D58</f>
        <v>2.0811960252085346</v>
      </c>
      <c r="C52" s="33">
        <f ca="1">'Confronto SJF - FIFO'!H58</f>
        <v>2.5899439098580888</v>
      </c>
      <c r="D52" s="34">
        <f ca="1">'Confronto SJF - FIFO'!P58</f>
        <v>7.4890169999999996</v>
      </c>
      <c r="E52" s="35">
        <f ca="1">'Confronto SJF - FIFO'!O58</f>
        <v>10.078960443850569</v>
      </c>
      <c r="G52">
        <f t="shared" ca="1" si="0"/>
        <v>5.4945403987009556</v>
      </c>
      <c r="H52">
        <f t="shared" ca="1" si="1"/>
        <v>7.3421152943032775</v>
      </c>
    </row>
    <row r="53" spans="1:16" x14ac:dyDescent="0.3">
      <c r="A53" t="s">
        <v>149</v>
      </c>
      <c r="B53" s="32">
        <f ca="1">'Confronto SJF - FIFO'!D59</f>
        <v>0.21180365672261828</v>
      </c>
      <c r="C53" s="33">
        <f ca="1">'Confronto SJF - FIFO'!H59</f>
        <v>0.40202999087076841</v>
      </c>
      <c r="D53" s="34">
        <f ca="1">'Confronto SJF - FIFO'!P59</f>
        <v>9.8671570000000006</v>
      </c>
      <c r="E53" s="35">
        <f ca="1">'Confronto SJF - FIFO'!O59</f>
        <v>10.269186777998719</v>
      </c>
      <c r="G53">
        <f t="shared" ca="1" si="0"/>
        <v>7.6497801863169554</v>
      </c>
      <c r="H53">
        <f t="shared" ca="1" si="1"/>
        <v>9.1957427591964844</v>
      </c>
    </row>
    <row r="54" spans="1:16" x14ac:dyDescent="0.3">
      <c r="A54" t="s">
        <v>148</v>
      </c>
      <c r="B54" s="32">
        <f ca="1">'Confronto SJF - FIFO'!D60</f>
        <v>5.2772888618898728E-2</v>
      </c>
      <c r="C54" s="33">
        <f ca="1">'Confronto SJF - FIFO'!H60</f>
        <v>0.84425347379127336</v>
      </c>
      <c r="D54" s="34">
        <f ca="1">'Confronto SJF - FIFO'!P60</f>
        <v>10.216414</v>
      </c>
      <c r="E54" s="35">
        <f ca="1">'Confronto SJF - FIFO'!O60</f>
        <v>11.060667363171099</v>
      </c>
      <c r="G54">
        <f t="shared" ca="1" si="0"/>
        <v>17.657346902573153</v>
      </c>
      <c r="H54">
        <f t="shared" ca="1" si="1"/>
        <v>9.8043922741120131</v>
      </c>
    </row>
    <row r="55" spans="1:16" x14ac:dyDescent="0.3">
      <c r="A55" t="s">
        <v>147</v>
      </c>
      <c r="B55" s="32">
        <f ca="1">'Confronto SJF - FIFO'!D61</f>
        <v>2.5274436709473944</v>
      </c>
      <c r="C55" s="33">
        <f ca="1">'Confronto SJF - FIFO'!H61</f>
        <v>0.62084881078203713</v>
      </c>
      <c r="D55" s="34">
        <f ca="1">'Confronto SJF - FIFO'!P61</f>
        <v>8.5332240000000006</v>
      </c>
      <c r="E55" s="35">
        <f ca="1">'Confronto SJF - FIFO'!O61</f>
        <v>9.154072503005743</v>
      </c>
      <c r="G55">
        <f t="shared" ca="1" si="0"/>
        <v>2.1009273341977566</v>
      </c>
      <c r="H55">
        <f t="shared" ca="1" si="1"/>
        <v>2.6378269217905568</v>
      </c>
    </row>
    <row r="56" spans="1:16" x14ac:dyDescent="0.3">
      <c r="A56" t="s">
        <v>146</v>
      </c>
      <c r="B56" s="32">
        <f ca="1">'Confronto SJF - FIFO'!D62</f>
        <v>0.66004373138093619</v>
      </c>
      <c r="C56" s="33">
        <f ca="1">'Confronto SJF - FIFO'!H62</f>
        <v>1.3163468525251425</v>
      </c>
      <c r="D56" s="34">
        <f ca="1">'Confronto SJF - FIFO'!P62</f>
        <v>8.4940289999999994</v>
      </c>
      <c r="E56" s="35">
        <f ca="1">'Confronto SJF - FIFO'!O62</f>
        <v>9.8103756241499482</v>
      </c>
      <c r="G56">
        <f t="shared" ca="1" si="0"/>
        <v>2.2400019315649566</v>
      </c>
      <c r="H56">
        <f t="shared" ca="1" si="1"/>
        <v>1.7112374734147331</v>
      </c>
    </row>
    <row r="57" spans="1:16" x14ac:dyDescent="0.3">
      <c r="A57" t="s">
        <v>145</v>
      </c>
      <c r="B57" s="32">
        <f ca="1">'Confronto SJF - FIFO'!D63</f>
        <v>0.27888550012392554</v>
      </c>
      <c r="C57" s="33">
        <f ca="1">'Confronto SJF - FIFO'!H63</f>
        <v>0.67787476029005589</v>
      </c>
      <c r="D57" s="34">
        <f ca="1">'Confronto SJF - FIFO'!P63</f>
        <v>9.5314899999999998</v>
      </c>
      <c r="E57" s="35">
        <f ca="1">'Confronto SJF - FIFO'!O63</f>
        <v>10.209364884316074</v>
      </c>
      <c r="G57">
        <f t="shared" ca="1" si="0"/>
        <v>2.9402324417523573</v>
      </c>
      <c r="H57">
        <f t="shared" ca="1" si="1"/>
        <v>2.289112898451533</v>
      </c>
      <c r="P57">
        <f ca="1">H245/G245</f>
        <v>0.98963886296742976</v>
      </c>
    </row>
    <row r="58" spans="1:16" x14ac:dyDescent="0.3">
      <c r="A58" t="s">
        <v>144</v>
      </c>
      <c r="B58" s="32">
        <f ca="1">'Confronto SJF - FIFO'!D64</f>
        <v>1.9106489979271728</v>
      </c>
      <c r="C58" s="33">
        <f ca="1">'Confronto SJF - FIFO'!H64</f>
        <v>1.2034410396654105</v>
      </c>
      <c r="D58" s="34">
        <f ca="1">'Confronto SJF - FIFO'!P64</f>
        <v>8.2987160000000006</v>
      </c>
      <c r="E58" s="35">
        <f ca="1">'Confronto SJF - FIFO'!O64</f>
        <v>9.5021569260543046</v>
      </c>
      <c r="G58">
        <f t="shared" ca="1" si="0"/>
        <v>0.13516990490115921</v>
      </c>
      <c r="H58">
        <f t="shared" ca="1" si="1"/>
        <v>0.26366723995352853</v>
      </c>
    </row>
    <row r="59" spans="1:16" x14ac:dyDescent="0.3">
      <c r="A59" t="s">
        <v>143</v>
      </c>
      <c r="B59" s="32">
        <f ca="1">'Confronto SJF - FIFO'!D65</f>
        <v>0.46542537260980577</v>
      </c>
      <c r="C59" s="33">
        <f ca="1">'Confronto SJF - FIFO'!H65</f>
        <v>1.4681589871833611</v>
      </c>
      <c r="D59" s="34">
        <f ca="1">'Confronto SJF - FIFO'!P65</f>
        <v>9.0367320000000007</v>
      </c>
      <c r="E59" s="35">
        <f ca="1">'Confronto SJF - FIFO'!O65</f>
        <v>10.504890540627855</v>
      </c>
      <c r="G59">
        <f t="shared" ca="1" si="0"/>
        <v>10.823176187712154</v>
      </c>
      <c r="H59">
        <f t="shared" ca="1" si="1"/>
        <v>11.478498162437425</v>
      </c>
    </row>
    <row r="60" spans="1:16" x14ac:dyDescent="0.3">
      <c r="A60" t="s">
        <v>142</v>
      </c>
      <c r="B60" s="32">
        <f ca="1">'Confronto SJF - FIFO'!D66</f>
        <v>0.83344459396899206</v>
      </c>
      <c r="C60" s="33">
        <f ca="1">'Confronto SJF - FIFO'!H66</f>
        <v>0.93600380123939042</v>
      </c>
      <c r="D60" s="34">
        <f ca="1">'Confronto SJF - FIFO'!P66</f>
        <v>9.6714459999999995</v>
      </c>
      <c r="E60" s="35">
        <f ca="1">'Confronto SJF - FIFO'!O66</f>
        <v>10.607449747898258</v>
      </c>
      <c r="G60">
        <f t="shared" ca="1" si="0"/>
        <v>6.9610574672185539</v>
      </c>
      <c r="H60">
        <f t="shared" ca="1" si="1"/>
        <v>8.113173136683379</v>
      </c>
    </row>
    <row r="61" spans="1:16" x14ac:dyDescent="0.3">
      <c r="A61" t="s">
        <v>141</v>
      </c>
      <c r="B61" s="32">
        <f ca="1">'Confronto SJF - FIFO'!D67</f>
        <v>3.8346927374097799</v>
      </c>
      <c r="C61" s="33">
        <f ca="1">'Confronto SJF - FIFO'!H67</f>
        <v>0.45510364499736983</v>
      </c>
      <c r="D61" s="34">
        <f ca="1">'Confronto SJF - FIFO'!P67</f>
        <v>6.7727570000000004</v>
      </c>
      <c r="E61" s="35">
        <f ca="1">'Confronto SJF - FIFO'!O67</f>
        <v>7.2278606554858413</v>
      </c>
      <c r="G61">
        <f t="shared" ca="1" si="0"/>
        <v>6.6147549973555542</v>
      </c>
      <c r="H61">
        <f t="shared" ca="1" si="1"/>
        <v>5.0592968237596008</v>
      </c>
    </row>
    <row r="62" spans="1:16" x14ac:dyDescent="0.3">
      <c r="A62" t="s">
        <v>140</v>
      </c>
      <c r="B62" s="32">
        <f ca="1">'Confronto SJF - FIFO'!D68</f>
        <v>1.2832330964914633</v>
      </c>
      <c r="C62" s="33">
        <f ca="1">'Confronto SJF - FIFO'!H68</f>
        <v>0.14448138313101799</v>
      </c>
      <c r="D62" s="34">
        <f ca="1">'Confronto SJF - FIFO'!P68</f>
        <v>5.9446279999999998</v>
      </c>
      <c r="E62" s="35">
        <f ca="1">'Confronto SJF - FIFO'!O68</f>
        <v>6.0891089421254065</v>
      </c>
      <c r="G62">
        <f t="shared" ca="1" si="0"/>
        <v>2.9450699137443568</v>
      </c>
      <c r="H62">
        <f t="shared" ca="1" si="1"/>
        <v>2.8142350087694243</v>
      </c>
    </row>
    <row r="63" spans="1:16" x14ac:dyDescent="0.3">
      <c r="A63" t="s">
        <v>139</v>
      </c>
      <c r="B63" s="32">
        <f ca="1">'Confronto SJF - FIFO'!D69</f>
        <v>0.7817325218776574</v>
      </c>
      <c r="C63" s="33">
        <f ca="1">'Confronto SJF - FIFO'!H69</f>
        <v>0.80604538089549072</v>
      </c>
      <c r="D63" s="34">
        <f ca="1">'Confronto SJF - FIFO'!P69</f>
        <v>5.3073759999999996</v>
      </c>
      <c r="E63" s="35">
        <f ca="1">'Confronto SJF - FIFO'!O69</f>
        <v>6.1134218011432466</v>
      </c>
      <c r="G63">
        <f t="shared" ca="1" si="0"/>
        <v>18.415449657270752</v>
      </c>
      <c r="H63">
        <f t="shared" ca="1" si="1"/>
        <v>20.96593968619921</v>
      </c>
      <c r="J63" t="s">
        <v>199</v>
      </c>
      <c r="K63">
        <f t="shared" ref="K63:K94" ca="1" si="2">$D3*$E3</f>
        <v>0</v>
      </c>
      <c r="L63">
        <f t="shared" ref="L63:L94" ca="1" si="3">$D3^2</f>
        <v>0</v>
      </c>
      <c r="M63">
        <f t="shared" ref="M63:M94" ca="1" si="4">$E3^2</f>
        <v>2.6577747343932777E-2</v>
      </c>
    </row>
    <row r="64" spans="1:16" x14ac:dyDescent="0.3">
      <c r="A64" t="s">
        <v>138</v>
      </c>
      <c r="B64" s="32">
        <f ca="1">'Confronto SJF - FIFO'!D70</f>
        <v>0.70060514959203246</v>
      </c>
      <c r="C64" s="33">
        <f ca="1">'Confronto SJF - FIFO'!H70</f>
        <v>0.77834017895972951</v>
      </c>
      <c r="D64" s="34">
        <f ca="1">'Confronto SJF - FIFO'!P70</f>
        <v>5.4128170000000004</v>
      </c>
      <c r="E64" s="35">
        <f ca="1">'Confronto SJF - FIFO'!O70</f>
        <v>6.1911568305109341</v>
      </c>
      <c r="G64">
        <f t="shared" ca="1" si="0"/>
        <v>20.222465766048153</v>
      </c>
      <c r="H64">
        <f t="shared" ca="1" si="1"/>
        <v>23.490739190406078</v>
      </c>
      <c r="J64" t="s">
        <v>198</v>
      </c>
      <c r="K64">
        <f t="shared" ca="1" si="2"/>
        <v>0</v>
      </c>
      <c r="L64">
        <f t="shared" ca="1" si="3"/>
        <v>0</v>
      </c>
      <c r="M64">
        <f t="shared" ca="1" si="4"/>
        <v>1.5606310974673377E-2</v>
      </c>
    </row>
    <row r="65" spans="1:13" x14ac:dyDescent="0.3">
      <c r="A65" t="s">
        <v>137</v>
      </c>
      <c r="B65" s="32">
        <f ca="1">'Confronto SJF - FIFO'!D71</f>
        <v>0.70560327147532431</v>
      </c>
      <c r="C65" s="33">
        <f ca="1">'Confronto SJF - FIFO'!H71</f>
        <v>0.29659849874619648</v>
      </c>
      <c r="D65" s="34">
        <f ca="1">'Confronto SJF - FIFO'!P71</f>
        <v>5.4855539999999996</v>
      </c>
      <c r="E65" s="35">
        <f ca="1">'Confronto SJF - FIFO'!O71</f>
        <v>5.7821520577818006</v>
      </c>
      <c r="G65">
        <f t="shared" ca="1" si="0"/>
        <v>33.923339481125147</v>
      </c>
      <c r="H65">
        <f t="shared" ca="1" si="1"/>
        <v>38.112197288809</v>
      </c>
      <c r="J65" t="s">
        <v>197</v>
      </c>
      <c r="K65">
        <f t="shared" ca="1" si="2"/>
        <v>0</v>
      </c>
      <c r="L65">
        <f t="shared" ca="1" si="3"/>
        <v>0</v>
      </c>
      <c r="M65">
        <f t="shared" ca="1" si="4"/>
        <v>1.2097670823951667</v>
      </c>
    </row>
    <row r="66" spans="1:13" x14ac:dyDescent="0.3">
      <c r="A66" t="s">
        <v>136</v>
      </c>
      <c r="B66" s="32">
        <f ca="1">'Confronto SJF - FIFO'!D72</f>
        <v>0.71149232148600272</v>
      </c>
      <c r="C66" s="33">
        <f ca="1">'Confronto SJF - FIFO'!H72</f>
        <v>1.9812820124167139</v>
      </c>
      <c r="D66" s="34">
        <f ca="1">'Confronto SJF - FIFO'!P72</f>
        <v>5.0706600000000002</v>
      </c>
      <c r="E66" s="35">
        <f ca="1">'Confronto SJF - FIFO'!O72</f>
        <v>7.0519417487125082</v>
      </c>
      <c r="G66">
        <f t="shared" ca="1" si="0"/>
        <v>33.198058064755351</v>
      </c>
      <c r="H66">
        <f t="shared" ca="1" si="1"/>
        <v>32.923358492139549</v>
      </c>
      <c r="J66" t="s">
        <v>196</v>
      </c>
      <c r="K66">
        <f t="shared" ca="1" si="2"/>
        <v>0</v>
      </c>
      <c r="L66">
        <f t="shared" ca="1" si="3"/>
        <v>0</v>
      </c>
      <c r="M66">
        <f t="shared" ca="1" si="4"/>
        <v>4.9696080731002595E-2</v>
      </c>
    </row>
    <row r="67" spans="1:13" x14ac:dyDescent="0.3">
      <c r="A67" t="s">
        <v>135</v>
      </c>
      <c r="B67" s="32">
        <f ca="1">'Confronto SJF - FIFO'!D73</f>
        <v>0.25606913695408884</v>
      </c>
      <c r="C67" s="33">
        <f ca="1">'Confronto SJF - FIFO'!H73</f>
        <v>0.23388897604770048</v>
      </c>
      <c r="D67" s="34">
        <f ca="1">'Confronto SJF - FIFO'!P73</f>
        <v>6.7958730000000003</v>
      </c>
      <c r="E67" s="35">
        <f ca="1">'Confronto SJF - FIFO'!O73</f>
        <v>7.0297615878061208</v>
      </c>
      <c r="G67">
        <f t="shared" ca="1" si="0"/>
        <v>36.857861803769751</v>
      </c>
      <c r="H67">
        <f t="shared" ca="1" si="1"/>
        <v>38.768840306333189</v>
      </c>
      <c r="J67" t="s">
        <v>195</v>
      </c>
      <c r="K67">
        <f t="shared" ca="1" si="2"/>
        <v>0</v>
      </c>
      <c r="L67">
        <f t="shared" ca="1" si="3"/>
        <v>0</v>
      </c>
      <c r="M67">
        <f t="shared" ca="1" si="4"/>
        <v>9.4767819072811523</v>
      </c>
    </row>
    <row r="68" spans="1:13" x14ac:dyDescent="0.3">
      <c r="A68" t="s">
        <v>134</v>
      </c>
      <c r="B68" s="32">
        <f ca="1">'Confronto SJF - FIFO'!D74</f>
        <v>2.8152244118326081E-2</v>
      </c>
      <c r="C68" s="33">
        <f ca="1">'Confronto SJF - FIFO'!H74</f>
        <v>0.27020458854512203</v>
      </c>
      <c r="D68" s="34">
        <f ca="1">'Confronto SJF - FIFO'!P74</f>
        <v>7.0016090000000002</v>
      </c>
      <c r="E68" s="35">
        <f ca="1">'Confronto SJF - FIFO'!O74</f>
        <v>7.2718139322329165</v>
      </c>
      <c r="G68">
        <f t="shared" ca="1" si="0"/>
        <v>36.818276935003546</v>
      </c>
      <c r="H68">
        <f t="shared" ca="1" si="1"/>
        <v>37.491732185508127</v>
      </c>
      <c r="J68" t="s">
        <v>194</v>
      </c>
      <c r="K68">
        <f t="shared" ca="1" si="2"/>
        <v>10.506461374438507</v>
      </c>
      <c r="L68">
        <f t="shared" ca="1" si="3"/>
        <v>8.088973068544</v>
      </c>
      <c r="M68">
        <f t="shared" ca="1" si="4"/>
        <v>13.646445559552035</v>
      </c>
    </row>
    <row r="69" spans="1:13" x14ac:dyDescent="0.3">
      <c r="A69" t="s">
        <v>133</v>
      </c>
      <c r="B69" s="32">
        <f ca="1">'Confronto SJF - FIFO'!D75</f>
        <v>0.11842034972443499</v>
      </c>
      <c r="C69" s="33">
        <f ca="1">'Confronto SJF - FIFO'!H75</f>
        <v>1.1215925685252424</v>
      </c>
      <c r="D69" s="34">
        <f ca="1">'Confronto SJF - FIFO'!P75</f>
        <v>7.1533939999999996</v>
      </c>
      <c r="E69" s="35">
        <f ca="1">'Confronto SJF - FIFO'!O75</f>
        <v>8.2749861510337297</v>
      </c>
      <c r="G69">
        <f t="shared" ca="1" si="0"/>
        <v>41.745019790689952</v>
      </c>
      <c r="H69">
        <f t="shared" ca="1" si="1"/>
        <v>42.821421094145606</v>
      </c>
      <c r="J69" t="s">
        <v>193</v>
      </c>
      <c r="K69">
        <f t="shared" ca="1" si="2"/>
        <v>12.969014346461758</v>
      </c>
      <c r="L69">
        <f t="shared" ca="1" si="3"/>
        <v>7.7147895576009997</v>
      </c>
      <c r="M69">
        <f t="shared" ca="1" si="4"/>
        <v>21.801674804339463</v>
      </c>
    </row>
    <row r="70" spans="1:13" x14ac:dyDescent="0.3">
      <c r="A70" t="s">
        <v>132</v>
      </c>
      <c r="B70" s="32">
        <f ca="1">'Confronto SJF - FIFO'!D76</f>
        <v>0.34830696026262231</v>
      </c>
      <c r="C70" s="33">
        <f ca="1">'Confronto SJF - FIFO'!H76</f>
        <v>0.20230957557635465</v>
      </c>
      <c r="D70" s="34">
        <f ca="1">'Confronto SJF - FIFO'!P76</f>
        <v>7.926679</v>
      </c>
      <c r="E70" s="35">
        <f ca="1">'Confronto SJF - FIFO'!O76</f>
        <v>8.1289887663474616</v>
      </c>
      <c r="G70">
        <f t="shared" ca="1" si="0"/>
        <v>42.979465547430749</v>
      </c>
      <c r="H70">
        <f t="shared" ca="1" si="1"/>
        <v>48.677178309263539</v>
      </c>
      <c r="J70" t="s">
        <v>192</v>
      </c>
      <c r="K70">
        <f t="shared" ca="1" si="2"/>
        <v>13.546458985316789</v>
      </c>
      <c r="L70">
        <f t="shared" ca="1" si="3"/>
        <v>12.202928306361001</v>
      </c>
      <c r="M70">
        <f t="shared" ca="1" si="4"/>
        <v>15.037911100830923</v>
      </c>
    </row>
    <row r="71" spans="1:13" x14ac:dyDescent="0.3">
      <c r="A71" t="s">
        <v>131</v>
      </c>
      <c r="B71" s="32">
        <f ca="1">'Confronto SJF - FIFO'!D77</f>
        <v>0.91410828850898462</v>
      </c>
      <c r="C71" s="33">
        <f ca="1">'Confronto SJF - FIFO'!H77</f>
        <v>0.21666767136042006</v>
      </c>
      <c r="D71" s="34">
        <f ca="1">'Confronto SJF - FIFO'!P77</f>
        <v>7.21488</v>
      </c>
      <c r="E71" s="35">
        <f ca="1">'Confronto SJF - FIFO'!O77</f>
        <v>7.4315481491989033</v>
      </c>
      <c r="G71">
        <f t="shared" ca="1" si="0"/>
        <v>42.979465547430749</v>
      </c>
      <c r="H71">
        <f t="shared" ca="1" si="1"/>
        <v>47.261229398467542</v>
      </c>
      <c r="J71" t="s">
        <v>191</v>
      </c>
      <c r="K71">
        <f t="shared" ca="1" si="2"/>
        <v>11.016035867824115</v>
      </c>
      <c r="L71">
        <f t="shared" ca="1" si="3"/>
        <v>5.3892090320890009</v>
      </c>
      <c r="M71">
        <f t="shared" ca="1" si="4"/>
        <v>22.517784246002375</v>
      </c>
    </row>
    <row r="72" spans="1:13" x14ac:dyDescent="0.3">
      <c r="A72" t="s">
        <v>130</v>
      </c>
      <c r="B72" s="32">
        <f ca="1">'Confronto SJF - FIFO'!D78</f>
        <v>1.1649143220038309</v>
      </c>
      <c r="C72" s="33">
        <f ca="1">'Confronto SJF - FIFO'!H78</f>
        <v>0.7387924305032465</v>
      </c>
      <c r="D72" s="34">
        <f ca="1">'Confronto SJF - FIFO'!P78</f>
        <v>6.2666339999999998</v>
      </c>
      <c r="E72" s="35">
        <f ca="1">'Confronto SJF - FIFO'!O78</f>
        <v>7.0054262576983319</v>
      </c>
      <c r="G72">
        <f t="shared" ca="1" si="0"/>
        <v>42.979465547430749</v>
      </c>
      <c r="H72">
        <f t="shared" ca="1" si="1"/>
        <v>47.136053773708959</v>
      </c>
      <c r="J72" t="s">
        <v>190</v>
      </c>
      <c r="K72">
        <f t="shared" ca="1" si="2"/>
        <v>18.550420502585837</v>
      </c>
      <c r="L72">
        <f t="shared" ca="1" si="3"/>
        <v>17.739503525240998</v>
      </c>
      <c r="M72">
        <f t="shared" ca="1" si="4"/>
        <v>19.398406518712424</v>
      </c>
    </row>
    <row r="73" spans="1:13" x14ac:dyDescent="0.3">
      <c r="A73" t="s">
        <v>129</v>
      </c>
      <c r="B73" s="32">
        <f ca="1">'Confronto SJF - FIFO'!D79</f>
        <v>1.2605645910279308</v>
      </c>
      <c r="C73" s="33">
        <f ca="1">'Confronto SJF - FIFO'!H79</f>
        <v>0.57172686259419081</v>
      </c>
      <c r="D73" s="34">
        <f ca="1">'Confronto SJF - FIFO'!P79</f>
        <v>5.7448620000000004</v>
      </c>
      <c r="E73" s="35">
        <f ca="1">'Confronto SJF - FIFO'!O79</f>
        <v>6.3165885292645925</v>
      </c>
      <c r="G73">
        <f t="shared" ca="1" si="0"/>
        <v>42.979465547430749</v>
      </c>
      <c r="H73">
        <f t="shared" ca="1" si="1"/>
        <v>33.835781439623844</v>
      </c>
      <c r="J73" t="s">
        <v>189</v>
      </c>
      <c r="K73">
        <f t="shared" ca="1" si="2"/>
        <v>15.963042539356968</v>
      </c>
      <c r="L73">
        <f t="shared" ca="1" si="3"/>
        <v>14.364471422400998</v>
      </c>
      <c r="M73">
        <f t="shared" ca="1" si="4"/>
        <v>17.739512970587789</v>
      </c>
    </row>
    <row r="74" spans="1:13" x14ac:dyDescent="0.3">
      <c r="A74" t="s">
        <v>128</v>
      </c>
      <c r="B74" s="32">
        <f ca="1">'Confronto SJF - FIFO'!D80</f>
        <v>2.4077881567325243</v>
      </c>
      <c r="C74" s="33">
        <f ca="1">'Confronto SJF - FIFO'!H80</f>
        <v>2.3127147405896107</v>
      </c>
      <c r="D74" s="34">
        <f ca="1">'Confronto SJF - FIFO'!P80</f>
        <v>3.9087999999999998</v>
      </c>
      <c r="E74" s="35">
        <f ca="1">'Confronto SJF - FIFO'!O80</f>
        <v>6.2215151131216828</v>
      </c>
      <c r="G74">
        <f t="shared" ca="1" si="0"/>
        <v>17.665752031773156</v>
      </c>
      <c r="H74">
        <f t="shared" ca="1" si="1"/>
        <v>12.588235654290546</v>
      </c>
      <c r="J74" t="s">
        <v>188</v>
      </c>
      <c r="K74">
        <f t="shared" ca="1" si="2"/>
        <v>12.247742258337755</v>
      </c>
      <c r="L74">
        <f t="shared" ca="1" si="3"/>
        <v>5.5404121008639997</v>
      </c>
      <c r="M74">
        <f t="shared" ca="1" si="4"/>
        <v>27.075096165369995</v>
      </c>
    </row>
    <row r="75" spans="1:13" x14ac:dyDescent="0.3">
      <c r="A75" t="s">
        <v>127</v>
      </c>
      <c r="B75" s="32">
        <f ca="1">'Confronto SJF - FIFO'!D81</f>
        <v>0.80167553379484824</v>
      </c>
      <c r="C75" s="33">
        <f ca="1">'Confronto SJF - FIFO'!H81</f>
        <v>0.87807723273978844</v>
      </c>
      <c r="D75" s="34">
        <f ca="1">'Confronto SJF - FIFO'!P81</f>
        <v>5.4198399999999998</v>
      </c>
      <c r="E75" s="35">
        <f ca="1">'Confronto SJF - FIFO'!O81</f>
        <v>6.2979168120666174</v>
      </c>
      <c r="G75">
        <f t="shared" ref="G75:G106" ca="1" si="5">($D35-$D$205)^2</f>
        <v>5.2054411987009557</v>
      </c>
      <c r="H75">
        <f t="shared" ref="H75:H106" ca="1" si="6">($D35-$D$205)*($E35-$E$205)</f>
        <v>3.7723729353017701</v>
      </c>
      <c r="J75" t="s">
        <v>187</v>
      </c>
      <c r="K75">
        <f t="shared" ca="1" si="2"/>
        <v>29.192016052091237</v>
      </c>
      <c r="L75">
        <f t="shared" ca="1" si="3"/>
        <v>26.075474152225002</v>
      </c>
      <c r="M75">
        <f t="shared" ca="1" si="4"/>
        <v>32.68104718674261</v>
      </c>
    </row>
    <row r="76" spans="1:13" x14ac:dyDescent="0.3">
      <c r="A76" t="s">
        <v>126</v>
      </c>
      <c r="B76" s="32">
        <f ca="1">'Confronto SJF - FIFO'!D82</f>
        <v>0.2104292594348435</v>
      </c>
      <c r="C76" s="33">
        <f ca="1">'Confronto SJF - FIFO'!H82</f>
        <v>1.4280958233570746</v>
      </c>
      <c r="D76" s="34">
        <f ca="1">'Confronto SJF - FIFO'!P82</f>
        <v>6.0874879999999996</v>
      </c>
      <c r="E76" s="35">
        <f ca="1">'Confronto SJF - FIFO'!O82</f>
        <v>7.5155833759888395</v>
      </c>
      <c r="G76">
        <f t="shared" ca="1" si="5"/>
        <v>0.74721260069315831</v>
      </c>
      <c r="H76">
        <f t="shared" ca="1" si="6"/>
        <v>-0.12297896133811693</v>
      </c>
      <c r="J76" t="s">
        <v>186</v>
      </c>
      <c r="K76">
        <f t="shared" ca="1" si="2"/>
        <v>32.34472501121779</v>
      </c>
      <c r="L76">
        <f t="shared" ca="1" si="3"/>
        <v>25.595595705680999</v>
      </c>
      <c r="M76">
        <f t="shared" ca="1" si="4"/>
        <v>40.873486520147502</v>
      </c>
    </row>
    <row r="77" spans="1:13" x14ac:dyDescent="0.3">
      <c r="A77" t="s">
        <v>125</v>
      </c>
      <c r="B77" s="32">
        <f ca="1">'Confronto SJF - FIFO'!D83</f>
        <v>1.0213291025228057</v>
      </c>
      <c r="C77" s="33">
        <f ca="1">'Confronto SJF - FIFO'!H83</f>
        <v>9.270726077438271E-2</v>
      </c>
      <c r="D77" s="34">
        <f ca="1">'Confronto SJF - FIFO'!P83</f>
        <v>6.4942539999999997</v>
      </c>
      <c r="E77" s="35">
        <f ca="1">'Confronto SJF - FIFO'!O83</f>
        <v>6.5869615342404302</v>
      </c>
      <c r="G77">
        <f t="shared" ca="1" si="5"/>
        <v>8.8365647884959445E-2</v>
      </c>
      <c r="H77">
        <f t="shared" ca="1" si="6"/>
        <v>-0.17227397508306702</v>
      </c>
      <c r="J77" t="s">
        <v>185</v>
      </c>
      <c r="K77">
        <f t="shared" ca="1" si="2"/>
        <v>30.023050559345833</v>
      </c>
      <c r="L77">
        <f t="shared" ca="1" si="3"/>
        <v>23.436849510243999</v>
      </c>
      <c r="M77">
        <f t="shared" ca="1" si="4"/>
        <v>38.460099532364666</v>
      </c>
    </row>
    <row r="78" spans="1:13" x14ac:dyDescent="0.3">
      <c r="A78" t="s">
        <v>124</v>
      </c>
      <c r="B78" s="32">
        <f ca="1">'Confronto SJF - FIFO'!D84</f>
        <v>4.3502706881590836</v>
      </c>
      <c r="C78" s="33">
        <f ca="1">'Confronto SJF - FIFO'!H84</f>
        <v>1.4757579338892839</v>
      </c>
      <c r="D78" s="34">
        <f ca="1">'Confronto SJF - FIFO'!P84</f>
        <v>2.236691</v>
      </c>
      <c r="E78" s="35">
        <f ca="1">'Confronto SJF - FIFO'!O84</f>
        <v>3.7124487799706287</v>
      </c>
      <c r="G78">
        <f t="shared" ca="1" si="5"/>
        <v>0.6134702236435613</v>
      </c>
      <c r="H78">
        <f t="shared" ca="1" si="6"/>
        <v>3.6128974148759498</v>
      </c>
      <c r="J78" t="s">
        <v>184</v>
      </c>
      <c r="K78">
        <f t="shared" ca="1" si="2"/>
        <v>42.200215500268172</v>
      </c>
      <c r="L78">
        <f t="shared" ca="1" si="3"/>
        <v>38.294042015523999</v>
      </c>
      <c r="M78">
        <f t="shared" ca="1" si="4"/>
        <v>46.504837163628032</v>
      </c>
    </row>
    <row r="79" spans="1:13" x14ac:dyDescent="0.3">
      <c r="A79" t="s">
        <v>123</v>
      </c>
      <c r="B79" s="32">
        <f ca="1">'Confronto SJF - FIFO'!D85</f>
        <v>1.2241964637705145</v>
      </c>
      <c r="C79" s="33">
        <f ca="1">'Confronto SJF - FIFO'!H85</f>
        <v>0.50096267837803343</v>
      </c>
      <c r="D79" s="34">
        <f ca="1">'Confronto SJF - FIFO'!P85</f>
        <v>2.4882520000000001</v>
      </c>
      <c r="E79" s="35">
        <f ca="1">'Confronto SJF - FIFO'!O85</f>
        <v>2.9892149945781483</v>
      </c>
      <c r="G79">
        <f t="shared" ca="1" si="5"/>
        <v>30.460667913218579</v>
      </c>
      <c r="H79">
        <f t="shared" ca="1" si="6"/>
        <v>25.857145456086524</v>
      </c>
      <c r="J79" t="s">
        <v>183</v>
      </c>
      <c r="K79">
        <f t="shared" ca="1" si="2"/>
        <v>13.219356106093493</v>
      </c>
      <c r="L79">
        <f t="shared" ca="1" si="3"/>
        <v>10.666840916169001</v>
      </c>
      <c r="M79">
        <f t="shared" ca="1" si="4"/>
        <v>16.382673861276007</v>
      </c>
    </row>
    <row r="80" spans="1:13" x14ac:dyDescent="0.3">
      <c r="A80" t="s">
        <v>122</v>
      </c>
      <c r="B80" s="32">
        <f ca="1">'Confronto SJF - FIFO'!D86</f>
        <v>0.1330113530688751</v>
      </c>
      <c r="C80" s="33">
        <f ca="1">'Confronto SJF - FIFO'!H86</f>
        <v>0.39622726834585992</v>
      </c>
      <c r="D80" s="34">
        <f ca="1">'Confronto SJF - FIFO'!P86</f>
        <v>2.856204</v>
      </c>
      <c r="E80" s="35">
        <f ca="1">'Confronto SJF - FIFO'!O86</f>
        <v>3.2524309098551214</v>
      </c>
      <c r="G80">
        <f t="shared" ca="1" si="5"/>
        <v>29.601601692813173</v>
      </c>
      <c r="H80">
        <f t="shared" ca="1" si="6"/>
        <v>27.342533915626106</v>
      </c>
      <c r="J80" t="s">
        <v>182</v>
      </c>
      <c r="K80">
        <f t="shared" ca="1" si="2"/>
        <v>17.478077873147754</v>
      </c>
      <c r="L80">
        <f t="shared" ca="1" si="3"/>
        <v>15.346735735081001</v>
      </c>
      <c r="M80">
        <f t="shared" ca="1" si="4"/>
        <v>19.905419068467776</v>
      </c>
    </row>
    <row r="81" spans="1:13" x14ac:dyDescent="0.3">
      <c r="A81" t="s">
        <v>121</v>
      </c>
      <c r="B81" s="32">
        <f ca="1">'Confronto SJF - FIFO'!D87</f>
        <v>1.7180638940260422</v>
      </c>
      <c r="C81" s="33">
        <f ca="1">'Confronto SJF - FIFO'!H87</f>
        <v>1.1453582220895058</v>
      </c>
      <c r="D81" s="34">
        <f ca="1">'Confronto SJF - FIFO'!P87</f>
        <v>1.534367</v>
      </c>
      <c r="E81" s="35">
        <f ca="1">'Confronto SJF - FIFO'!O87</f>
        <v>2.679725237918575</v>
      </c>
      <c r="G81">
        <f t="shared" ca="1" si="5"/>
        <v>22.948520424889974</v>
      </c>
      <c r="H81">
        <f t="shared" ca="1" si="6"/>
        <v>26.206045361882175</v>
      </c>
      <c r="J81" t="s">
        <v>181</v>
      </c>
      <c r="K81">
        <f t="shared" ca="1" si="2"/>
        <v>22.18854222301534</v>
      </c>
      <c r="L81">
        <f t="shared" ca="1" si="3"/>
        <v>15.871905409936</v>
      </c>
      <c r="M81">
        <f t="shared" ca="1" si="4"/>
        <v>31.019048643922066</v>
      </c>
    </row>
    <row r="82" spans="1:13" x14ac:dyDescent="0.3">
      <c r="A82" t="s">
        <v>120</v>
      </c>
      <c r="B82" s="32">
        <f ca="1">'Confronto SJF - FIFO'!D88</f>
        <v>1.2343182826405044</v>
      </c>
      <c r="C82" s="33">
        <f ca="1">'Confronto SJF - FIFO'!H88</f>
        <v>1.1174234529762892</v>
      </c>
      <c r="D82" s="34">
        <f ca="1">'Confronto SJF - FIFO'!P88</f>
        <v>1.4454070000000001</v>
      </c>
      <c r="E82" s="35">
        <f ca="1">'Confronto SJF - FIFO'!O88</f>
        <v>2.5628304082543565</v>
      </c>
      <c r="G82">
        <f t="shared" ca="1" si="5"/>
        <v>29.411352046307574</v>
      </c>
      <c r="H82">
        <f t="shared" ca="1" si="6"/>
        <v>25.101105156389671</v>
      </c>
      <c r="J82" t="s">
        <v>180</v>
      </c>
      <c r="K82">
        <f t="shared" ca="1" si="2"/>
        <v>28.538681088487309</v>
      </c>
      <c r="L82">
        <f t="shared" ca="1" si="3"/>
        <v>23.423199421503998</v>
      </c>
      <c r="M82">
        <f t="shared" ca="1" si="4"/>
        <v>34.771352265509037</v>
      </c>
    </row>
    <row r="83" spans="1:13" x14ac:dyDescent="0.3">
      <c r="A83" t="s">
        <v>119</v>
      </c>
      <c r="B83" s="32">
        <f ca="1">'Confronto SJF - FIFO'!D89</f>
        <v>0.27365943949820287</v>
      </c>
      <c r="C83" s="33">
        <f ca="1">'Confronto SJF - FIFO'!H89</f>
        <v>5.8647842154474036E-2</v>
      </c>
      <c r="D83" s="34">
        <f ca="1">'Confronto SJF - FIFO'!P89</f>
        <v>2.2891710000000001</v>
      </c>
      <c r="E83" s="35">
        <f ca="1">'Confronto SJF - FIFO'!O89</f>
        <v>2.3478188109106242</v>
      </c>
      <c r="G83">
        <f t="shared" ca="1" si="5"/>
        <v>2.0410733958499629</v>
      </c>
      <c r="H83">
        <f t="shared" ca="1" si="6"/>
        <v>1.5126713670656307</v>
      </c>
      <c r="J83" t="s">
        <v>179</v>
      </c>
      <c r="K83">
        <f t="shared" ca="1" si="2"/>
        <v>6.0032009245104856</v>
      </c>
      <c r="L83">
        <f t="shared" ca="1" si="3"/>
        <v>5.128186702499999</v>
      </c>
      <c r="M83">
        <f t="shared" ca="1" si="4"/>
        <v>7.0275174112663956</v>
      </c>
    </row>
    <row r="84" spans="1:13" x14ac:dyDescent="0.3">
      <c r="A84" t="s">
        <v>118</v>
      </c>
      <c r="B84" s="32">
        <f ca="1">'Confronto SJF - FIFO'!D90</f>
        <v>1.1077789376329787</v>
      </c>
      <c r="C84" s="33">
        <f ca="1">'Confronto SJF - FIFO'!H90</f>
        <v>0.32252470874249445</v>
      </c>
      <c r="D84" s="34">
        <f ca="1">'Confronto SJF - FIFO'!P90</f>
        <v>1.24004</v>
      </c>
      <c r="E84" s="35">
        <f ca="1">'Confronto SJF - FIFO'!O90</f>
        <v>1.5625645820201441</v>
      </c>
      <c r="G84">
        <f t="shared" ca="1" si="5"/>
        <v>4.1312351119360567E-2</v>
      </c>
      <c r="H84">
        <f t="shared" ca="1" si="6"/>
        <v>-7.5282941855363064E-2</v>
      </c>
      <c r="J84" t="s">
        <v>178</v>
      </c>
      <c r="K84">
        <f t="shared" ca="1" si="2"/>
        <v>4.7620831647437134</v>
      </c>
      <c r="L84">
        <f t="shared" ca="1" si="3"/>
        <v>4.2392050984890002</v>
      </c>
      <c r="M84">
        <f t="shared" ca="1" si="4"/>
        <v>5.3494548013302117</v>
      </c>
    </row>
    <row r="85" spans="1:13" x14ac:dyDescent="0.3">
      <c r="A85" t="s">
        <v>117</v>
      </c>
      <c r="B85" s="32">
        <f ca="1">'Confronto SJF - FIFO'!D91</f>
        <v>0.37091526440150657</v>
      </c>
      <c r="C85" s="33">
        <f ca="1">'Confronto SJF - FIFO'!H91</f>
        <v>2.0538831283705141</v>
      </c>
      <c r="D85" s="34">
        <f ca="1">'Confronto SJF - FIFO'!P91</f>
        <v>1.191649</v>
      </c>
      <c r="E85" s="35">
        <f ca="1">'Confronto SJF - FIFO'!O91</f>
        <v>3.2455324459891557</v>
      </c>
      <c r="G85">
        <f t="shared" ca="1" si="5"/>
        <v>0.27862393338256081</v>
      </c>
      <c r="H85">
        <f t="shared" ca="1" si="6"/>
        <v>0.68330758437682892</v>
      </c>
      <c r="J85" t="s">
        <v>177</v>
      </c>
      <c r="K85">
        <f t="shared" ca="1" si="2"/>
        <v>0.72640433307500885</v>
      </c>
      <c r="L85">
        <f t="shared" ca="1" si="3"/>
        <v>0.535089324004</v>
      </c>
      <c r="M85">
        <f t="shared" ca="1" si="4"/>
        <v>0.98612181450699998</v>
      </c>
    </row>
    <row r="86" spans="1:13" x14ac:dyDescent="0.3">
      <c r="A86" t="s">
        <v>116</v>
      </c>
      <c r="B86" s="32">
        <f ca="1">'Confronto SJF - FIFO'!D92</f>
        <v>1.2814485888755647</v>
      </c>
      <c r="C86" s="33">
        <f ca="1">'Confronto SJF - FIFO'!H92</f>
        <v>0.17310088356607456</v>
      </c>
      <c r="D86" s="34">
        <f ca="1">'Confronto SJF - FIFO'!P92</f>
        <v>1.9640839999999999</v>
      </c>
      <c r="E86" s="35">
        <f ca="1">'Confronto SJF - FIFO'!O92</f>
        <v>2.1371847406796718</v>
      </c>
      <c r="G86">
        <f t="shared" ca="1" si="5"/>
        <v>3.0713592978643609</v>
      </c>
      <c r="H86">
        <f t="shared" ca="1" si="6"/>
        <v>1.4882536030203817</v>
      </c>
      <c r="J86" t="s">
        <v>176</v>
      </c>
      <c r="K86">
        <f t="shared" ca="1" si="2"/>
        <v>1.4472467859236393</v>
      </c>
      <c r="L86">
        <f t="shared" ca="1" si="3"/>
        <v>0.6305900454090001</v>
      </c>
      <c r="M86">
        <f t="shared" ca="1" si="4"/>
        <v>3.3215292163513279</v>
      </c>
    </row>
    <row r="87" spans="1:13" x14ac:dyDescent="0.3">
      <c r="A87" t="s">
        <v>115</v>
      </c>
      <c r="B87" s="32">
        <f ca="1">'Confronto SJF - FIFO'!D93</f>
        <v>0.21892699162343734</v>
      </c>
      <c r="C87" s="33">
        <f ca="1">'Confronto SJF - FIFO'!H93</f>
        <v>0.70750704145045384</v>
      </c>
      <c r="D87" s="34">
        <f ca="1">'Confronto SJF - FIFO'!P93</f>
        <v>1.918258</v>
      </c>
      <c r="E87" s="35">
        <f ca="1">'Confronto SJF - FIFO'!O93</f>
        <v>2.6257647905066932</v>
      </c>
      <c r="G87">
        <f t="shared" ca="1" si="5"/>
        <v>3.1110518205427624</v>
      </c>
      <c r="H87">
        <f t="shared" ca="1" si="6"/>
        <v>2.2762025206115153</v>
      </c>
      <c r="J87" t="s">
        <v>175</v>
      </c>
      <c r="K87">
        <f t="shared" ca="1" si="2"/>
        <v>0.55789904253731493</v>
      </c>
      <c r="L87">
        <f t="shared" ca="1" si="3"/>
        <v>0.23503588802499997</v>
      </c>
      <c r="M87">
        <f t="shared" ca="1" si="4"/>
        <v>1.32427155818411</v>
      </c>
    </row>
    <row r="88" spans="1:13" x14ac:dyDescent="0.3">
      <c r="A88" t="s">
        <v>114</v>
      </c>
      <c r="B88" s="32">
        <f ca="1">'Confronto SJF - FIFO'!D94</f>
        <v>2.5281112307587335</v>
      </c>
      <c r="C88" s="33">
        <f ca="1">'Confronto SJF - FIFO'!H94</f>
        <v>0.89645019346372612</v>
      </c>
      <c r="D88" s="34">
        <f ca="1">'Confronto SJF - FIFO'!P94</f>
        <v>9.7654000000000005E-2</v>
      </c>
      <c r="E88" s="35">
        <f ca="1">'Confronto SJF - FIFO'!O94</f>
        <v>0.99410375321167521</v>
      </c>
      <c r="G88">
        <f t="shared" ca="1" si="5"/>
        <v>4.6267683048577668</v>
      </c>
      <c r="H88">
        <f t="shared" ca="1" si="6"/>
        <v>5.4767775699752459</v>
      </c>
      <c r="J88" t="s">
        <v>174</v>
      </c>
      <c r="K88">
        <f t="shared" ca="1" si="2"/>
        <v>0.6627013089434306</v>
      </c>
      <c r="L88">
        <f t="shared" ca="1" si="3"/>
        <v>0.23820842035600001</v>
      </c>
      <c r="M88">
        <f t="shared" ca="1" si="4"/>
        <v>1.8436502967401267</v>
      </c>
    </row>
    <row r="89" spans="1:13" x14ac:dyDescent="0.3">
      <c r="A89" t="s">
        <v>113</v>
      </c>
      <c r="B89" s="32">
        <f ca="1">'Confronto SJF - FIFO'!D95</f>
        <v>0.24095409099424142</v>
      </c>
      <c r="C89" s="33">
        <f ca="1">'Confronto SJF - FIFO'!H95</f>
        <v>0.88491062821175648</v>
      </c>
      <c r="D89" s="34">
        <f ca="1">'Confronto SJF - FIFO'!P95</f>
        <v>0.75314999999999999</v>
      </c>
      <c r="E89" s="35">
        <f ca="1">'Confronto SJF - FIFO'!O95</f>
        <v>1.6380602904291948</v>
      </c>
      <c r="G89">
        <f t="shared" ca="1" si="5"/>
        <v>9.8415620495769698</v>
      </c>
      <c r="H89">
        <f t="shared" ca="1" si="6"/>
        <v>8.1705958482283148</v>
      </c>
      <c r="J89" t="s">
        <v>173</v>
      </c>
      <c r="K89">
        <f t="shared" ca="1" si="2"/>
        <v>8.6201099343396856E-2</v>
      </c>
      <c r="L89">
        <f t="shared" ca="1" si="3"/>
        <v>8.9934875560000009E-3</v>
      </c>
      <c r="M89">
        <f t="shared" ca="1" si="4"/>
        <v>0.82622336237657146</v>
      </c>
    </row>
    <row r="90" spans="1:13" x14ac:dyDescent="0.3">
      <c r="A90" t="s">
        <v>112</v>
      </c>
      <c r="B90" s="32">
        <f ca="1">'Confronto SJF - FIFO'!D96</f>
        <v>0.87543074012267041</v>
      </c>
      <c r="C90" s="33">
        <f ca="1">'Confronto SJF - FIFO'!H96</f>
        <v>1.1017686797092123</v>
      </c>
      <c r="D90" s="34">
        <f ca="1">'Confronto SJF - FIFO'!P96</f>
        <v>0.76263000000000003</v>
      </c>
      <c r="E90" s="35">
        <f ca="1">'Confronto SJF - FIFO'!O96</f>
        <v>1.8643982300157376</v>
      </c>
      <c r="G90">
        <f t="shared" ca="1" si="5"/>
        <v>1.8618176778433631</v>
      </c>
      <c r="H90">
        <f t="shared" ca="1" si="6"/>
        <v>2.8968790723414632</v>
      </c>
      <c r="J90" t="s">
        <v>172</v>
      </c>
      <c r="K90">
        <f t="shared" ca="1" si="2"/>
        <v>0</v>
      </c>
      <c r="L90">
        <f t="shared" ca="1" si="3"/>
        <v>0</v>
      </c>
      <c r="M90">
        <f t="shared" ca="1" si="4"/>
        <v>1.2461816613334431E-2</v>
      </c>
    </row>
    <row r="91" spans="1:13" x14ac:dyDescent="0.3">
      <c r="A91" t="s">
        <v>111</v>
      </c>
      <c r="B91" s="32">
        <f ca="1">'Confronto SJF - FIFO'!D97</f>
        <v>0.73019766653051776</v>
      </c>
      <c r="C91" s="33">
        <f ca="1">'Confronto SJF - FIFO'!H97</f>
        <v>0.61608449825234102</v>
      </c>
      <c r="D91" s="34">
        <f ca="1">'Confronto SJF - FIFO'!P97</f>
        <v>1.134201</v>
      </c>
      <c r="E91" s="35">
        <f ca="1">'Confronto SJF - FIFO'!O97</f>
        <v>1.7502850617375572</v>
      </c>
      <c r="G91">
        <f t="shared" ca="1" si="5"/>
        <v>7.4801287283097686</v>
      </c>
      <c r="H91">
        <f t="shared" ca="1" si="6"/>
        <v>5.5618789695308779</v>
      </c>
      <c r="J91" t="s">
        <v>171</v>
      </c>
      <c r="K91">
        <f t="shared" ca="1" si="2"/>
        <v>0</v>
      </c>
      <c r="L91">
        <f t="shared" ca="1" si="3"/>
        <v>0</v>
      </c>
      <c r="M91">
        <f t="shared" ca="1" si="4"/>
        <v>0.10733110875577941</v>
      </c>
    </row>
    <row r="92" spans="1:13" x14ac:dyDescent="0.3">
      <c r="A92" t="s">
        <v>110</v>
      </c>
      <c r="B92" s="32">
        <f ca="1">'Confronto SJF - FIFO'!D98</f>
        <v>3.7764641805111791E-2</v>
      </c>
      <c r="C92" s="33">
        <f ca="1">'Confronto SJF - FIFO'!H98</f>
        <v>1.8106271420455988</v>
      </c>
      <c r="D92" s="34">
        <f ca="1">'Confronto SJF - FIFO'!P98</f>
        <v>1.71252</v>
      </c>
      <c r="E92" s="35">
        <f ca="1">'Confronto SJF - FIFO'!O98</f>
        <v>3.5231475619780497</v>
      </c>
      <c r="G92">
        <f t="shared" ca="1" si="5"/>
        <v>0.87075847125136119</v>
      </c>
      <c r="H92">
        <f t="shared" ca="1" si="6"/>
        <v>2.3723840924118149</v>
      </c>
      <c r="J92" t="s">
        <v>170</v>
      </c>
      <c r="K92">
        <f t="shared" ca="1" si="2"/>
        <v>0</v>
      </c>
      <c r="L92">
        <f t="shared" ca="1" si="3"/>
        <v>0</v>
      </c>
      <c r="M92">
        <f t="shared" ca="1" si="4"/>
        <v>0.12020638986783991</v>
      </c>
    </row>
    <row r="93" spans="1:13" x14ac:dyDescent="0.3">
      <c r="A93" t="s">
        <v>109</v>
      </c>
      <c r="B93" s="32">
        <f ca="1">'Confronto SJF - FIFO'!D99</f>
        <v>9.558816314030022E-2</v>
      </c>
      <c r="C93" s="33">
        <f ca="1">'Confronto SJF - FIFO'!H99</f>
        <v>1.6816186057587581</v>
      </c>
      <c r="D93" s="34">
        <f ca="1">'Confronto SJF - FIFO'!P99</f>
        <v>3.427559</v>
      </c>
      <c r="E93" s="35">
        <f ca="1">'Confronto SJF - FIFO'!O99</f>
        <v>5.109178004596501</v>
      </c>
      <c r="G93">
        <f t="shared" ca="1" si="5"/>
        <v>10.96460437768337</v>
      </c>
      <c r="H93">
        <f t="shared" ca="1" si="6"/>
        <v>9.048353096640275</v>
      </c>
      <c r="J93" t="s">
        <v>169</v>
      </c>
      <c r="K93">
        <f t="shared" ca="1" si="2"/>
        <v>0</v>
      </c>
      <c r="L93">
        <f t="shared" ca="1" si="3"/>
        <v>0</v>
      </c>
      <c r="M93">
        <f t="shared" ca="1" si="4"/>
        <v>5.6428335731727426</v>
      </c>
    </row>
    <row r="94" spans="1:13" x14ac:dyDescent="0.3">
      <c r="A94" t="s">
        <v>108</v>
      </c>
      <c r="B94" s="32">
        <f ca="1">'Confronto SJF - FIFO'!D100</f>
        <v>0.26375317600066484</v>
      </c>
      <c r="C94" s="33">
        <f ca="1">'Confronto SJF - FIFO'!H100</f>
        <v>0.25906213622385227</v>
      </c>
      <c r="D94" s="34">
        <f ca="1">'Confronto SJF - FIFO'!P100</f>
        <v>4.8454249999999996</v>
      </c>
      <c r="E94" s="35">
        <f ca="1">'Confronto SJF - FIFO'!O100</f>
        <v>5.1044869648196851</v>
      </c>
      <c r="G94">
        <f t="shared" ca="1" si="5"/>
        <v>13.39956334111397</v>
      </c>
      <c r="H94">
        <f t="shared" ca="1" si="6"/>
        <v>12.899973615658659</v>
      </c>
      <c r="J94" t="s">
        <v>168</v>
      </c>
      <c r="K94">
        <f t="shared" ca="1" si="2"/>
        <v>10.685494215933911</v>
      </c>
      <c r="L94">
        <f t="shared" ca="1" si="3"/>
        <v>5.5357054848639997</v>
      </c>
      <c r="M94">
        <f t="shared" ca="1" si="4"/>
        <v>20.62605876540092</v>
      </c>
    </row>
    <row r="95" spans="1:13" x14ac:dyDescent="0.3">
      <c r="A95" t="s">
        <v>107</v>
      </c>
      <c r="B95" s="32">
        <f ca="1">'Confronto SJF - FIFO'!D101</f>
        <v>2.274996597129439</v>
      </c>
      <c r="C95" s="33">
        <f ca="1">'Confronto SJF - FIFO'!H101</f>
        <v>2.2371509477525873</v>
      </c>
      <c r="D95" s="34">
        <f ca="1">'Confronto SJF - FIFO'!P101</f>
        <v>2.8294899999999998</v>
      </c>
      <c r="E95" s="35">
        <f ca="1">'Confronto SJF - FIFO'!O101</f>
        <v>5.0666413154428227</v>
      </c>
      <c r="G95">
        <f t="shared" ca="1" si="5"/>
        <v>3.9099185590819667</v>
      </c>
      <c r="H95">
        <f t="shared" ca="1" si="6"/>
        <v>3.1983002481699128</v>
      </c>
      <c r="J95" t="s">
        <v>167</v>
      </c>
      <c r="K95">
        <f t="shared" ref="K95:K126" ca="1" si="7">$D35*$E35</f>
        <v>25.146627941447811</v>
      </c>
      <c r="L95">
        <f t="shared" ref="L95:L126" ca="1" si="8">$D35^2</f>
        <v>18.269888400240998</v>
      </c>
      <c r="M95">
        <f t="shared" ref="M95:M126" ca="1" si="9">$E35^2</f>
        <v>34.611754761307814</v>
      </c>
    </row>
    <row r="96" spans="1:13" x14ac:dyDescent="0.3">
      <c r="A96" t="s">
        <v>106</v>
      </c>
      <c r="B96" s="32">
        <f ca="1">'Confronto SJF - FIFO'!D102</f>
        <v>0.6440598247772209</v>
      </c>
      <c r="C96" s="33">
        <f ca="1">'Confronto SJF - FIFO'!H102</f>
        <v>0.99609860400104311</v>
      </c>
      <c r="D96" s="34">
        <f ca="1">'Confronto SJF - FIFO'!P102</f>
        <v>4.4225810000000001</v>
      </c>
      <c r="E96" s="35">
        <f ca="1">'Confronto SJF - FIFO'!O102</f>
        <v>5.4186800946666551</v>
      </c>
      <c r="G96">
        <f t="shared" ca="1" si="5"/>
        <v>3.7564502308609615</v>
      </c>
      <c r="H96">
        <f t="shared" ca="1" si="6"/>
        <v>4.4069217313959994</v>
      </c>
      <c r="J96" t="s">
        <v>166</v>
      </c>
      <c r="K96">
        <f t="shared" ca="1" si="7"/>
        <v>43.703989947013703</v>
      </c>
      <c r="L96">
        <f t="shared" ca="1" si="8"/>
        <v>32.392694165763999</v>
      </c>
      <c r="M96">
        <f t="shared" ca="1" si="9"/>
        <v>58.965108845666954</v>
      </c>
    </row>
    <row r="97" spans="1:13" x14ac:dyDescent="0.3">
      <c r="A97" t="s">
        <v>105</v>
      </c>
      <c r="B97" s="32">
        <f ca="1">'Confronto SJF - FIFO'!D103</f>
        <v>0.43588569258785037</v>
      </c>
      <c r="C97" s="33">
        <f ca="1">'Confronto SJF - FIFO'!H103</f>
        <v>1.3055841162507651</v>
      </c>
      <c r="D97" s="34">
        <f ca="1">'Confronto SJF - FIFO'!P103</f>
        <v>4.9827940000000002</v>
      </c>
      <c r="E97" s="35">
        <f ca="1">'Confronto SJF - FIFO'!O103</f>
        <v>6.2883785183295799</v>
      </c>
      <c r="G97">
        <f t="shared" ca="1" si="5"/>
        <v>8.8542989111827648</v>
      </c>
      <c r="H97">
        <f t="shared" ca="1" si="6"/>
        <v>7.9531087360540331</v>
      </c>
      <c r="J97" t="s">
        <v>165</v>
      </c>
      <c r="K97">
        <f t="shared" ca="1" si="7"/>
        <v>50.795736798517503</v>
      </c>
      <c r="L97">
        <f t="shared" ca="1" si="8"/>
        <v>39.170186614880997</v>
      </c>
      <c r="M97">
        <f t="shared" ca="1" si="9"/>
        <v>65.871702432074414</v>
      </c>
    </row>
    <row r="98" spans="1:13" x14ac:dyDescent="0.3">
      <c r="A98" t="s">
        <v>104</v>
      </c>
      <c r="B98" s="32">
        <f ca="1">'Confronto SJF - FIFO'!D104</f>
        <v>8.6992566377734545E-2</v>
      </c>
      <c r="C98" s="33">
        <f ca="1">'Confronto SJF - FIFO'!H104</f>
        <v>0.19584486044246857</v>
      </c>
      <c r="D98" s="34">
        <f ca="1">'Confronto SJF - FIFO'!P104</f>
        <v>6.2013860000000003</v>
      </c>
      <c r="E98" s="35">
        <f ca="1">'Confronto SJF - FIFO'!O104</f>
        <v>6.3972308123943122</v>
      </c>
      <c r="G98">
        <f t="shared" ca="1" si="5"/>
        <v>3.037503116923566</v>
      </c>
      <c r="H98">
        <f t="shared" ca="1" si="6"/>
        <v>3.4256479823895907</v>
      </c>
      <c r="J98" t="s">
        <v>164</v>
      </c>
      <c r="K98">
        <f t="shared" ca="1" si="7"/>
        <v>89.165450422943294</v>
      </c>
      <c r="L98">
        <f t="shared" ca="1" si="8"/>
        <v>53.862623661455999</v>
      </c>
      <c r="M98">
        <f t="shared" ca="1" si="9"/>
        <v>147.60657778383913</v>
      </c>
    </row>
    <row r="99" spans="1:13" x14ac:dyDescent="0.3">
      <c r="A99" t="s">
        <v>103</v>
      </c>
      <c r="B99" s="32">
        <f ca="1">'Confronto SJF - FIFO'!D105</f>
        <v>0.35300906672441734</v>
      </c>
      <c r="C99" s="33">
        <f ca="1">'Confronto SJF - FIFO'!H105</f>
        <v>1.8395673983702259</v>
      </c>
      <c r="D99" s="34">
        <f ca="1">'Confronto SJF - FIFO'!P105</f>
        <v>6.0442220000000004</v>
      </c>
      <c r="E99" s="35">
        <f ca="1">'Confronto SJF - FIFO'!O105</f>
        <v>7.8837891440401222</v>
      </c>
      <c r="G99">
        <f t="shared" ca="1" si="5"/>
        <v>6.1546633625683684</v>
      </c>
      <c r="H99">
        <f t="shared" ca="1" si="6"/>
        <v>7.3638973497440228</v>
      </c>
      <c r="J99" t="s">
        <v>163</v>
      </c>
      <c r="K99">
        <f t="shared" ca="1" si="7"/>
        <v>147.5759445622414</v>
      </c>
      <c r="L99">
        <f t="shared" ca="1" si="8"/>
        <v>145.80540765008101</v>
      </c>
      <c r="M99">
        <f t="shared" ca="1" si="9"/>
        <v>149.36798136941837</v>
      </c>
    </row>
    <row r="100" spans="1:13" x14ac:dyDescent="0.3">
      <c r="A100" t="s">
        <v>102</v>
      </c>
      <c r="B100" s="32">
        <f ca="1">'Confronto SJF - FIFO'!D106</f>
        <v>0.10219410328396998</v>
      </c>
      <c r="C100" s="33">
        <f ca="1">'Confronto SJF - FIFO'!H106</f>
        <v>1.9843495105408853</v>
      </c>
      <c r="D100" s="34">
        <f ca="1">'Confronto SJF - FIFO'!P106</f>
        <v>7.7815950000000003</v>
      </c>
      <c r="E100" s="35">
        <f ca="1">'Confronto SJF - FIFO'!O106</f>
        <v>9.7659445512970393</v>
      </c>
      <c r="G100">
        <f t="shared" ca="1" si="5"/>
        <v>9.7067976107875644</v>
      </c>
      <c r="H100">
        <f t="shared" ca="1" si="6"/>
        <v>9.5674400324295821</v>
      </c>
      <c r="J100" t="s">
        <v>162</v>
      </c>
      <c r="K100">
        <f t="shared" ca="1" si="7"/>
        <v>150.70291827726857</v>
      </c>
      <c r="L100">
        <f t="shared" ca="1" si="8"/>
        <v>143.91860350566401</v>
      </c>
      <c r="M100">
        <f t="shared" ca="1" si="9"/>
        <v>157.80704526076971</v>
      </c>
    </row>
    <row r="101" spans="1:13" x14ac:dyDescent="0.3">
      <c r="A101" t="s">
        <v>101</v>
      </c>
      <c r="B101" s="32">
        <f ca="1">'Confronto SJF - FIFO'!D107</f>
        <v>0.25320598011704198</v>
      </c>
      <c r="C101" s="33">
        <f ca="1">'Confronto SJF - FIFO'!H107</f>
        <v>0.81604938688486539</v>
      </c>
      <c r="D101" s="34">
        <f ca="1">'Confronto SJF - FIFO'!P107</f>
        <v>9.5127389999999998</v>
      </c>
      <c r="E101" s="35">
        <f ca="1">'Confronto SJF - FIFO'!O107</f>
        <v>10.328787958064865</v>
      </c>
      <c r="G101">
        <f t="shared" ca="1" si="5"/>
        <v>4.7038842963360618E-2</v>
      </c>
      <c r="H101">
        <f t="shared" ca="1" si="6"/>
        <v>-6.6961983645449613E-2</v>
      </c>
      <c r="J101" t="s">
        <v>161</v>
      </c>
      <c r="K101">
        <f t="shared" ca="1" si="7"/>
        <v>147.5825541644098</v>
      </c>
      <c r="L101">
        <f t="shared" ca="1" si="8"/>
        <v>128.73929523955601</v>
      </c>
      <c r="M101">
        <f t="shared" ca="1" si="9"/>
        <v>169.18385527248651</v>
      </c>
    </row>
    <row r="102" spans="1:13" x14ac:dyDescent="0.3">
      <c r="A102" t="s">
        <v>100</v>
      </c>
      <c r="B102" s="32">
        <f ca="1">'Confronto SJF - FIFO'!D108</f>
        <v>0.5988211558562675</v>
      </c>
      <c r="C102" s="33">
        <f ca="1">'Confronto SJF - FIFO'!H108</f>
        <v>2.1983776539168889</v>
      </c>
      <c r="D102" s="34">
        <f ca="1">'Confronto SJF - FIFO'!P108</f>
        <v>9.7299670000000003</v>
      </c>
      <c r="E102" s="35">
        <f ca="1">'Confronto SJF - FIFO'!O108</f>
        <v>11.928344456125487</v>
      </c>
      <c r="G102">
        <f t="shared" ca="1" si="5"/>
        <v>0.37361996102915895</v>
      </c>
      <c r="H102">
        <f t="shared" ca="1" si="6"/>
        <v>0.88477457652322333</v>
      </c>
      <c r="J102" t="s">
        <v>160</v>
      </c>
      <c r="K102">
        <f t="shared" ca="1" si="7"/>
        <v>145.72634093754695</v>
      </c>
      <c r="L102">
        <f t="shared" ca="1" si="8"/>
        <v>143.49874097721602</v>
      </c>
      <c r="M102">
        <f t="shared" ca="1" si="9"/>
        <v>147.98852100324657</v>
      </c>
    </row>
    <row r="103" spans="1:13" x14ac:dyDescent="0.3">
      <c r="A103" t="s">
        <v>99</v>
      </c>
      <c r="B103" s="32">
        <f ca="1">'Confronto SJF - FIFO'!D109</f>
        <v>0.10556357188521032</v>
      </c>
      <c r="C103" s="33">
        <f ca="1">'Confronto SJF - FIFO'!H109</f>
        <v>0.36657628848208212</v>
      </c>
      <c r="D103" s="34">
        <f ca="1">'Confronto SJF - FIFO'!P109</f>
        <v>11.822781000000001</v>
      </c>
      <c r="E103" s="35">
        <f ca="1">'Confronto SJF - FIFO'!O109</f>
        <v>12.189357172722353</v>
      </c>
      <c r="G103">
        <f t="shared" ca="1" si="5"/>
        <v>1.5587437602115581</v>
      </c>
      <c r="H103">
        <f t="shared" ca="1" si="6"/>
        <v>1.7768402583967133</v>
      </c>
      <c r="J103" t="s">
        <v>159</v>
      </c>
      <c r="K103">
        <f t="shared" ca="1" si="7"/>
        <v>68.630335189739753</v>
      </c>
      <c r="L103">
        <f t="shared" ca="1" si="8"/>
        <v>63.752783197155999</v>
      </c>
      <c r="M103">
        <f t="shared" ca="1" si="9"/>
        <v>73.881055415101443</v>
      </c>
    </row>
    <row r="104" spans="1:13" x14ac:dyDescent="0.3">
      <c r="A104" t="s">
        <v>98</v>
      </c>
      <c r="B104" s="32">
        <f ca="1">'Confronto SJF - FIFO'!D110</f>
        <v>0.51748495951662621</v>
      </c>
      <c r="C104" s="33">
        <f ca="1">'Confronto SJF - FIFO'!H110</f>
        <v>0.77587857242956171</v>
      </c>
      <c r="D104" s="34">
        <f ca="1">'Confronto SJF - FIFO'!P110</f>
        <v>11.671872</v>
      </c>
      <c r="E104" s="35">
        <f ca="1">'Confronto SJF - FIFO'!O110</f>
        <v>12.447750785635293</v>
      </c>
      <c r="G104">
        <f t="shared" ca="1" si="5"/>
        <v>1.3065761046913567</v>
      </c>
      <c r="H104">
        <f t="shared" ca="1" si="6"/>
        <v>1.5379228643247429</v>
      </c>
      <c r="J104" t="s">
        <v>158</v>
      </c>
      <c r="K104">
        <f t="shared" ca="1" si="7"/>
        <v>48.437377165781562</v>
      </c>
      <c r="L104">
        <f t="shared" ca="1" si="8"/>
        <v>45.685797802129002</v>
      </c>
      <c r="M104">
        <f t="shared" ca="1" si="9"/>
        <v>51.354679562821225</v>
      </c>
    </row>
    <row r="105" spans="1:13" x14ac:dyDescent="0.3">
      <c r="A105" t="s">
        <v>97</v>
      </c>
      <c r="B105" s="32">
        <f ca="1">'Confronto SJF - FIFO'!D111</f>
        <v>3.9166579973311699</v>
      </c>
      <c r="C105" s="33">
        <f ca="1">'Confronto SJF - FIFO'!H111</f>
        <v>0.42993066579796274</v>
      </c>
      <c r="D105" s="34">
        <f ca="1">'Confronto SJF - FIFO'!P111</f>
        <v>8.5310930000000003</v>
      </c>
      <c r="E105" s="35">
        <f ca="1">'Confronto SJF - FIFO'!O111</f>
        <v>8.9610234541020901</v>
      </c>
      <c r="G105">
        <f t="shared" ca="1" si="5"/>
        <v>1.1455819055059586</v>
      </c>
      <c r="H105">
        <f t="shared" ca="1" si="6"/>
        <v>1.8778243656746516</v>
      </c>
      <c r="J105" t="s">
        <v>157</v>
      </c>
      <c r="K105">
        <f t="shared" ca="1" si="7"/>
        <v>62.557193983742764</v>
      </c>
      <c r="L105">
        <f t="shared" ca="1" si="8"/>
        <v>50.179103205840995</v>
      </c>
      <c r="M105">
        <f t="shared" ca="1" si="9"/>
        <v>77.988689894802462</v>
      </c>
    </row>
    <row r="106" spans="1:13" x14ac:dyDescent="0.3">
      <c r="A106" t="s">
        <v>96</v>
      </c>
      <c r="B106" s="32">
        <f ca="1">'Confronto SJF - FIFO'!D112</f>
        <v>2.0588212860945001</v>
      </c>
      <c r="C106" s="33">
        <f ca="1">'Confronto SJF - FIFO'!H112</f>
        <v>0.73969720986086163</v>
      </c>
      <c r="D106" s="34">
        <f ca="1">'Confronto SJF - FIFO'!P112</f>
        <v>6.9022019999999999</v>
      </c>
      <c r="E106" s="35">
        <f ca="1">'Confronto SJF - FIFO'!O112</f>
        <v>7.6418993778684552</v>
      </c>
      <c r="G106">
        <f t="shared" ca="1" si="5"/>
        <v>2.2058564671987564</v>
      </c>
      <c r="H106">
        <f t="shared" ca="1" si="6"/>
        <v>0.71982900662235172</v>
      </c>
      <c r="J106" t="s">
        <v>156</v>
      </c>
      <c r="K106">
        <f t="shared" ca="1" si="7"/>
        <v>69.67267156790426</v>
      </c>
      <c r="L106">
        <f t="shared" ca="1" si="8"/>
        <v>69.029543793603992</v>
      </c>
      <c r="M106">
        <f t="shared" ca="1" si="9"/>
        <v>70.321791172822941</v>
      </c>
    </row>
    <row r="107" spans="1:13" x14ac:dyDescent="0.3">
      <c r="A107" t="s">
        <v>95</v>
      </c>
      <c r="B107" s="32">
        <f ca="1">'Confronto SJF - FIFO'!D113</f>
        <v>0.85145855074748922</v>
      </c>
      <c r="C107" s="33">
        <f ca="1">'Confronto SJF - FIFO'!H113</f>
        <v>0.94344328207957751</v>
      </c>
      <c r="D107" s="34">
        <f ca="1">'Confronto SJF - FIFO'!P113</f>
        <v>6.7904410000000004</v>
      </c>
      <c r="E107" s="35">
        <f ca="1">'Confronto SJF - FIFO'!O113</f>
        <v>7.733884109200531</v>
      </c>
      <c r="G107">
        <f t="shared" ref="G107:G138" ca="1" si="10">($D67-$D$205)^2</f>
        <v>5.7600192000160644E-2</v>
      </c>
      <c r="H107">
        <f t="shared" ref="H107:H138" ca="1" si="11">($D67-$D$205)*($E67-$E$205)</f>
        <v>-0.1216427895679289</v>
      </c>
      <c r="J107" t="s">
        <v>155</v>
      </c>
      <c r="K107">
        <f t="shared" ca="1" si="7"/>
        <v>73.438764933015634</v>
      </c>
      <c r="L107">
        <f t="shared" ca="1" si="8"/>
        <v>69.21724169609999</v>
      </c>
      <c r="M107">
        <f t="shared" ca="1" si="9"/>
        <v>77.917756656151255</v>
      </c>
    </row>
    <row r="108" spans="1:13" x14ac:dyDescent="0.3">
      <c r="A108" t="s">
        <v>94</v>
      </c>
      <c r="B108" s="32">
        <f ca="1">'Confronto SJF - FIFO'!D114</f>
        <v>0.27730378405561207</v>
      </c>
      <c r="C108" s="33">
        <f ca="1">'Confronto SJF - FIFO'!H114</f>
        <v>0.28026747393597745</v>
      </c>
      <c r="D108" s="34">
        <f ca="1">'Confronto SJF - FIFO'!P114</f>
        <v>7.4565799999999998</v>
      </c>
      <c r="E108" s="35">
        <f ca="1">'Confronto SJF - FIFO'!O114</f>
        <v>7.7368477990808913</v>
      </c>
      <c r="G108">
        <f t="shared" ca="1" si="10"/>
        <v>0.19868093828496111</v>
      </c>
      <c r="H108">
        <f t="shared" ca="1" si="11"/>
        <v>-0.11802732913538194</v>
      </c>
      <c r="J108" t="s">
        <v>154</v>
      </c>
      <c r="K108">
        <f t="shared" ca="1" si="7"/>
        <v>87.789307139614621</v>
      </c>
      <c r="L108">
        <f t="shared" ca="1" si="8"/>
        <v>75.809498128225016</v>
      </c>
      <c r="M108">
        <f t="shared" ca="1" si="9"/>
        <v>101.66222753536699</v>
      </c>
    </row>
    <row r="109" spans="1:13" x14ac:dyDescent="0.3">
      <c r="A109" t="s">
        <v>93</v>
      </c>
      <c r="B109" s="32">
        <f ca="1">'Confronto SJF - FIFO'!D115</f>
        <v>0.24063784085606291</v>
      </c>
      <c r="C109" s="33">
        <f ca="1">'Confronto SJF - FIFO'!H115</f>
        <v>0.13699412247287826</v>
      </c>
      <c r="D109" s="34">
        <f ca="1">'Confronto SJF - FIFO'!P115</f>
        <v>7.4962099999999996</v>
      </c>
      <c r="E109" s="35">
        <f ca="1">'Confronto SJF - FIFO'!O115</f>
        <v>7.6332040806977091</v>
      </c>
      <c r="G109">
        <f t="shared" ca="1" si="10"/>
        <v>0.35703182345796075</v>
      </c>
      <c r="H109">
        <f t="shared" ca="1" si="11"/>
        <v>0.44119812107393086</v>
      </c>
      <c r="J109" t="s">
        <v>153</v>
      </c>
      <c r="K109">
        <f t="shared" ca="1" si="7"/>
        <v>98.297573347409099</v>
      </c>
      <c r="L109">
        <f t="shared" ca="1" si="8"/>
        <v>93.954229614001008</v>
      </c>
      <c r="M109">
        <f t="shared" ca="1" si="9"/>
        <v>102.84170245114102</v>
      </c>
    </row>
    <row r="110" spans="1:13" x14ac:dyDescent="0.3">
      <c r="A110" t="s">
        <v>92</v>
      </c>
      <c r="B110" s="32">
        <f ca="1">'Confronto SJF - FIFO'!D116</f>
        <v>3.8169170648023876</v>
      </c>
      <c r="C110" s="33">
        <f ca="1">'Confronto SJF - FIFO'!H116</f>
        <v>0.27342230827281999</v>
      </c>
      <c r="D110" s="34">
        <f ca="1">'Confronto SJF - FIFO'!P116</f>
        <v>3.816287</v>
      </c>
      <c r="E110" s="35">
        <f ca="1">'Confronto SJF - FIFO'!O116</f>
        <v>4.0897093241681404</v>
      </c>
      <c r="G110">
        <f t="shared" ca="1" si="10"/>
        <v>1.8791101862809629</v>
      </c>
      <c r="H110">
        <f t="shared" ca="1" si="11"/>
        <v>0.81204249915046178</v>
      </c>
      <c r="J110" t="s">
        <v>152</v>
      </c>
      <c r="K110">
        <f t="shared" ca="1" si="7"/>
        <v>76.507982394744403</v>
      </c>
      <c r="L110">
        <f t="shared" ca="1" si="8"/>
        <v>62.732055007448999</v>
      </c>
      <c r="M110">
        <f t="shared" ca="1" si="9"/>
        <v>93.309096432748134</v>
      </c>
    </row>
    <row r="111" spans="1:13" x14ac:dyDescent="0.3">
      <c r="A111" t="s">
        <v>91</v>
      </c>
      <c r="B111" s="32">
        <f ca="1">'Confronto SJF - FIFO'!D117</f>
        <v>0.51667064654597727</v>
      </c>
      <c r="C111" s="33">
        <f ca="1">'Confronto SJF - FIFO'!H117</f>
        <v>2.054508666810162</v>
      </c>
      <c r="D111" s="34">
        <f ca="1">'Confronto SJF - FIFO'!P117</f>
        <v>3.5730390000000001</v>
      </c>
      <c r="E111" s="35">
        <f ca="1">'Confronto SJF - FIFO'!O117</f>
        <v>5.6275473444323296</v>
      </c>
      <c r="G111">
        <f t="shared" ca="1" si="10"/>
        <v>0.43429075325476135</v>
      </c>
      <c r="H111">
        <f t="shared" ca="1" si="11"/>
        <v>-6.9233703139516226E-2</v>
      </c>
      <c r="J111" t="s">
        <v>151</v>
      </c>
      <c r="K111">
        <f t="shared" ca="1" si="7"/>
        <v>88.915457206715573</v>
      </c>
      <c r="L111">
        <f t="shared" ca="1" si="8"/>
        <v>86.319986631025003</v>
      </c>
      <c r="M111">
        <f t="shared" ca="1" si="9"/>
        <v>91.588968428288894</v>
      </c>
    </row>
    <row r="112" spans="1:13" x14ac:dyDescent="0.3">
      <c r="A112" t="s">
        <v>90</v>
      </c>
      <c r="B112" s="32">
        <f ca="1">'Confronto SJF - FIFO'!D118</f>
        <v>0.90225274827326241</v>
      </c>
      <c r="C112" s="33">
        <f ca="1">'Confronto SJF - FIFO'!H118</f>
        <v>4.5659183442442561</v>
      </c>
      <c r="D112" s="34">
        <f ca="1">'Confronto SJF - FIFO'!P118</f>
        <v>4.725295</v>
      </c>
      <c r="E112" s="35">
        <f ca="1">'Confronto SJF - FIFO'!O118</f>
        <v>9.2912129404033266</v>
      </c>
      <c r="G112">
        <f t="shared" ca="1" si="10"/>
        <v>8.3658967729959496E-2</v>
      </c>
      <c r="H112">
        <f t="shared" ca="1" si="11"/>
        <v>0.15363759812412106</v>
      </c>
      <c r="J112" t="s">
        <v>150</v>
      </c>
      <c r="K112">
        <f t="shared" ca="1" si="7"/>
        <v>75.48150610632446</v>
      </c>
      <c r="L112">
        <f t="shared" ca="1" si="8"/>
        <v>56.085375626288993</v>
      </c>
      <c r="M112">
        <f t="shared" ca="1" si="9"/>
        <v>101.58544362870447</v>
      </c>
    </row>
    <row r="113" spans="1:13" x14ac:dyDescent="0.3">
      <c r="A113" t="s">
        <v>89</v>
      </c>
      <c r="B113" s="32">
        <f ca="1">'Confronto SJF - FIFO'!D119</f>
        <v>1.3763537260197494</v>
      </c>
      <c r="C113" s="33">
        <f ca="1">'Confronto SJF - FIFO'!H119</f>
        <v>2.0555499637274313</v>
      </c>
      <c r="D113" s="34">
        <f ca="1">'Confronto SJF - FIFO'!P119</f>
        <v>7.9148589999999999</v>
      </c>
      <c r="E113" s="35">
        <f ca="1">'Confronto SJF - FIFO'!O119</f>
        <v>9.9704091781110122</v>
      </c>
      <c r="G113">
        <f t="shared" ca="1" si="10"/>
        <v>0.65773819331235772</v>
      </c>
      <c r="H113">
        <f t="shared" ca="1" si="11"/>
        <v>0.98944685732318294</v>
      </c>
      <c r="J113" t="s">
        <v>149</v>
      </c>
      <c r="K113">
        <f t="shared" ca="1" si="7"/>
        <v>101.32767820083751</v>
      </c>
      <c r="L113">
        <f t="shared" ca="1" si="8"/>
        <v>97.360787262649012</v>
      </c>
      <c r="M113">
        <f t="shared" ca="1" si="9"/>
        <v>105.45619708142371</v>
      </c>
    </row>
    <row r="114" spans="1:13" x14ac:dyDescent="0.3">
      <c r="A114" t="s">
        <v>88</v>
      </c>
      <c r="B114" s="32">
        <f ca="1">'Confronto SJF - FIFO'!D120</f>
        <v>0.20037401019527495</v>
      </c>
      <c r="C114" s="33">
        <f ca="1">'Confronto SJF - FIFO'!H120</f>
        <v>1.8808025416528642</v>
      </c>
      <c r="D114" s="34">
        <f ca="1">'Confronto SJF - FIFO'!P120</f>
        <v>9.770035</v>
      </c>
      <c r="E114" s="35">
        <f ca="1">'Confronto SJF - FIFO'!O120</f>
        <v>11.650837709568606</v>
      </c>
      <c r="G114">
        <f t="shared" ca="1" si="10"/>
        <v>7.006993349670755</v>
      </c>
      <c r="H114">
        <f t="shared" ca="1" si="11"/>
        <v>3.481140257981953</v>
      </c>
      <c r="J114" t="s">
        <v>148</v>
      </c>
      <c r="K114">
        <f t="shared" ca="1" si="7"/>
        <v>113.00035689844431</v>
      </c>
      <c r="L114">
        <f t="shared" ca="1" si="8"/>
        <v>104.37511501939601</v>
      </c>
      <c r="M114">
        <f t="shared" ca="1" si="9"/>
        <v>122.33836251871831</v>
      </c>
    </row>
    <row r="115" spans="1:13" x14ac:dyDescent="0.3">
      <c r="A115" t="s">
        <v>87</v>
      </c>
      <c r="B115" s="32">
        <f ca="1">'Confronto SJF - FIFO'!D121</f>
        <v>7.9741216213209815E-2</v>
      </c>
      <c r="C115" s="33">
        <f ca="1">'Confronto SJF - FIFO'!H121</f>
        <v>1.5465535749693331</v>
      </c>
      <c r="D115" s="34">
        <f ca="1">'Confronto SJF - FIFO'!P121</f>
        <v>11.571096000000001</v>
      </c>
      <c r="E115" s="35">
        <f ca="1">'Confronto SJF - FIFO'!O121</f>
        <v>13.117650068324735</v>
      </c>
      <c r="G115">
        <f t="shared" ca="1" si="10"/>
        <v>1.2905700682627581</v>
      </c>
      <c r="H115">
        <f t="shared" ca="1" si="11"/>
        <v>1.4071909574944836</v>
      </c>
      <c r="J115" t="s">
        <v>147</v>
      </c>
      <c r="K115">
        <f t="shared" ca="1" si="7"/>
        <v>78.113751180388689</v>
      </c>
      <c r="L115">
        <f t="shared" ca="1" si="8"/>
        <v>72.815911834176006</v>
      </c>
      <c r="M115">
        <f t="shared" ca="1" si="9"/>
        <v>83.797043390285836</v>
      </c>
    </row>
    <row r="116" spans="1:13" x14ac:dyDescent="0.3">
      <c r="A116" t="s">
        <v>86</v>
      </c>
      <c r="B116" s="32">
        <f ca="1">'Confronto SJF - FIFO'!D122</f>
        <v>0.71369685929287052</v>
      </c>
      <c r="C116" s="33">
        <f ca="1">'Confronto SJF - FIFO'!H122</f>
        <v>1.6854020346331697</v>
      </c>
      <c r="D116" s="34">
        <f ca="1">'Confronto SJF - FIFO'!P122</f>
        <v>12.403953</v>
      </c>
      <c r="E116" s="35">
        <f ca="1">'Confronto SJF - FIFO'!O122</f>
        <v>14.08935524366504</v>
      </c>
      <c r="G116">
        <f t="shared" ca="1" si="10"/>
        <v>0.21938413351715941</v>
      </c>
      <c r="H116">
        <f t="shared" ca="1" si="11"/>
        <v>9.8465326352009247E-3</v>
      </c>
      <c r="J116" t="s">
        <v>146</v>
      </c>
      <c r="K116">
        <f t="shared" ca="1" si="7"/>
        <v>83.329615052422753</v>
      </c>
      <c r="L116">
        <f t="shared" ca="1" si="8"/>
        <v>72.148528652840994</v>
      </c>
      <c r="M116">
        <f t="shared" ca="1" si="9"/>
        <v>96.243469886915491</v>
      </c>
    </row>
    <row r="117" spans="1:13" x14ac:dyDescent="0.3">
      <c r="A117" t="s">
        <v>85</v>
      </c>
      <c r="B117" s="32">
        <f ca="1">'Confronto SJF - FIFO'!D123</f>
        <v>8.7744523731098562E-2</v>
      </c>
      <c r="C117" s="33">
        <f ca="1">'Confronto SJF - FIFO'!H123</f>
        <v>0.76340059201566912</v>
      </c>
      <c r="D117" s="34">
        <f ca="1">'Confronto SJF - FIFO'!P123</f>
        <v>14.001611</v>
      </c>
      <c r="E117" s="35">
        <f ca="1">'Confronto SJF - FIFO'!O123</f>
        <v>14.765011311949593</v>
      </c>
      <c r="G117">
        <f t="shared" ca="1" si="10"/>
        <v>3.7968518659599001E-3</v>
      </c>
      <c r="H117">
        <f t="shared" ca="1" si="11"/>
        <v>5.8515743967560874E-2</v>
      </c>
      <c r="J117" t="s">
        <v>145</v>
      </c>
      <c r="K117">
        <f t="shared" ca="1" si="7"/>
        <v>97.310459301209804</v>
      </c>
      <c r="L117">
        <f t="shared" ca="1" si="8"/>
        <v>90.849301620099993</v>
      </c>
      <c r="M117">
        <f t="shared" ca="1" si="9"/>
        <v>104.23113134110615</v>
      </c>
    </row>
    <row r="118" spans="1:13" x14ac:dyDescent="0.3">
      <c r="A118" t="s">
        <v>84</v>
      </c>
      <c r="B118" s="32">
        <f ca="1">'Confronto SJF - FIFO'!D124</f>
        <v>0.17670851999109558</v>
      </c>
      <c r="C118" s="33">
        <f ca="1">'Confronto SJF - FIFO'!H124</f>
        <v>0.26274979950784766</v>
      </c>
      <c r="D118" s="34">
        <f ca="1">'Confronto SJF - FIFO'!P124</f>
        <v>14.588303</v>
      </c>
      <c r="E118" s="35">
        <f ca="1">'Confronto SJF - FIFO'!O124</f>
        <v>14.851052591466342</v>
      </c>
      <c r="G118">
        <f t="shared" ca="1" si="10"/>
        <v>18.655329693778548</v>
      </c>
      <c r="H118">
        <f t="shared" ca="1" si="11"/>
        <v>16.517228202771399</v>
      </c>
      <c r="J118" t="s">
        <v>144</v>
      </c>
      <c r="K118">
        <f t="shared" ca="1" si="7"/>
        <v>78.855701716757679</v>
      </c>
      <c r="L118">
        <f t="shared" ca="1" si="8"/>
        <v>68.868687248656016</v>
      </c>
      <c r="M118">
        <f t="shared" ca="1" si="9"/>
        <v>90.290986247361786</v>
      </c>
    </row>
    <row r="119" spans="1:13" x14ac:dyDescent="0.3">
      <c r="A119" t="s">
        <v>83</v>
      </c>
      <c r="B119" s="32">
        <f ca="1">'Confronto SJF - FIFO'!D125</f>
        <v>1.1260818639445278</v>
      </c>
      <c r="C119" s="33">
        <f ca="1">'Confronto SJF - FIFO'!H125</f>
        <v>0.47594504162110124</v>
      </c>
      <c r="D119" s="34">
        <f ca="1">'Confronto SJF - FIFO'!P125</f>
        <v>13.724971</v>
      </c>
      <c r="E119" s="35">
        <f ca="1">'Confronto SJF - FIFO'!O125</f>
        <v>14.200915769142895</v>
      </c>
      <c r="G119">
        <f t="shared" ca="1" si="10"/>
        <v>16.54553734554435</v>
      </c>
      <c r="H119">
        <f t="shared" ca="1" si="11"/>
        <v>18.497060107991206</v>
      </c>
      <c r="J119" t="s">
        <v>143</v>
      </c>
      <c r="K119">
        <f t="shared" ca="1" si="7"/>
        <v>94.929880504989043</v>
      </c>
      <c r="L119">
        <f t="shared" ca="1" si="8"/>
        <v>81.662525239824006</v>
      </c>
      <c r="M119">
        <f t="shared" ca="1" si="9"/>
        <v>110.35272527057259</v>
      </c>
    </row>
    <row r="120" spans="1:13" x14ac:dyDescent="0.3">
      <c r="A120" t="s">
        <v>82</v>
      </c>
      <c r="B120" s="32">
        <f ca="1">'Confronto SJF - FIFO'!D126</f>
        <v>2.2623422175130563</v>
      </c>
      <c r="C120" s="33">
        <f ca="1">'Confronto SJF - FIFO'!H126</f>
        <v>1.9593116830500594</v>
      </c>
      <c r="D120" s="34">
        <f ca="1">'Confronto SJF - FIFO'!P126</f>
        <v>11.938573999999999</v>
      </c>
      <c r="E120" s="35">
        <f ca="1">'Confronto SJF - FIFO'!O126</f>
        <v>13.897885234679904</v>
      </c>
      <c r="G120">
        <f t="shared" ca="1" si="10"/>
        <v>13.687547749825953</v>
      </c>
      <c r="H120">
        <f t="shared" ca="1" si="11"/>
        <v>15.85002694652691</v>
      </c>
      <c r="J120" t="s">
        <v>142</v>
      </c>
      <c r="K120">
        <f t="shared" ca="1" si="7"/>
        <v>102.5893774345116</v>
      </c>
      <c r="L120">
        <f t="shared" ca="1" si="8"/>
        <v>93.536867730915986</v>
      </c>
      <c r="M120">
        <f t="shared" ca="1" si="9"/>
        <v>112.51799015418682</v>
      </c>
    </row>
    <row r="121" spans="1:13" x14ac:dyDescent="0.3">
      <c r="A121" t="s">
        <v>81</v>
      </c>
      <c r="B121" s="32">
        <f ca="1">'Confronto SJF - FIFO'!D127</f>
        <v>8.8353272608942643E-2</v>
      </c>
      <c r="C121" s="33">
        <f ca="1">'Confronto SJF - FIFO'!H127</f>
        <v>8.8221544134496649E-2</v>
      </c>
      <c r="D121" s="34">
        <f ca="1">'Confronto SJF - FIFO'!P127</f>
        <v>13.809532000000001</v>
      </c>
      <c r="E121" s="35">
        <f ca="1">'Confronto SJF - FIFO'!O127</f>
        <v>13.897753506205447</v>
      </c>
      <c r="G121">
        <f t="shared" ca="1" si="10"/>
        <v>25.215518490831354</v>
      </c>
      <c r="H121">
        <f t="shared" ca="1" si="11"/>
        <v>24.388852436858681</v>
      </c>
      <c r="J121" t="s">
        <v>141</v>
      </c>
      <c r="K121">
        <f t="shared" ca="1" si="7"/>
        <v>48.952543849466323</v>
      </c>
      <c r="L121">
        <f t="shared" ca="1" si="8"/>
        <v>45.870237381049002</v>
      </c>
      <c r="M121">
        <f t="shared" ca="1" si="9"/>
        <v>52.241969655120215</v>
      </c>
    </row>
    <row r="122" spans="1:13" x14ac:dyDescent="0.3">
      <c r="A122" t="s">
        <v>80</v>
      </c>
      <c r="B122" s="32">
        <f ca="1">'Confronto SJF - FIFO'!D128</f>
        <v>0.61785921110121966</v>
      </c>
      <c r="C122" s="33">
        <f ca="1">'Confronto SJF - FIFO'!H128</f>
        <v>1.0451052086872576</v>
      </c>
      <c r="D122" s="34">
        <f ca="1">'Confronto SJF - FIFO'!P128</f>
        <v>13.279894000000001</v>
      </c>
      <c r="E122" s="35">
        <f ca="1">'Confronto SJF - FIFO'!O128</f>
        <v>14.324999503791489</v>
      </c>
      <c r="G122">
        <f t="shared" ca="1" si="10"/>
        <v>26.116858648783346</v>
      </c>
      <c r="H122">
        <f t="shared" ca="1" si="11"/>
        <v>25.418307528546613</v>
      </c>
      <c r="J122" t="s">
        <v>140</v>
      </c>
      <c r="K122">
        <f t="shared" ca="1" si="7"/>
        <v>36.197487512409069</v>
      </c>
      <c r="L122">
        <f t="shared" ca="1" si="8"/>
        <v>35.338602058383998</v>
      </c>
      <c r="M122">
        <f t="shared" ca="1" si="9"/>
        <v>37.077247709071585</v>
      </c>
    </row>
    <row r="123" spans="1:13" x14ac:dyDescent="0.3">
      <c r="A123" t="s">
        <v>79</v>
      </c>
      <c r="B123" s="32">
        <f ca="1">'Confronto SJF - FIFO'!D129</f>
        <v>0.17313008722332385</v>
      </c>
      <c r="C123" s="33">
        <f ca="1">'Confronto SJF - FIFO'!H129</f>
        <v>0.84542814373460373</v>
      </c>
      <c r="D123" s="34">
        <f ca="1">'Confronto SJF - FIFO'!P129</f>
        <v>14.151869</v>
      </c>
      <c r="E123" s="35">
        <f ca="1">'Confronto SJF - FIFO'!O129</f>
        <v>14.997297560302769</v>
      </c>
      <c r="G123">
        <f t="shared" ca="1" si="10"/>
        <v>18.204742543442553</v>
      </c>
      <c r="H123">
        <f t="shared" ca="1" si="11"/>
        <v>22.139005320025579</v>
      </c>
      <c r="J123" t="s">
        <v>139</v>
      </c>
      <c r="K123">
        <f t="shared" ca="1" si="7"/>
        <v>32.446228145264435</v>
      </c>
      <c r="L123">
        <f t="shared" ca="1" si="8"/>
        <v>28.168240005375996</v>
      </c>
      <c r="M123">
        <f t="shared" ca="1" si="9"/>
        <v>37.373926118693539</v>
      </c>
    </row>
    <row r="124" spans="1:13" x14ac:dyDescent="0.3">
      <c r="A124" t="s">
        <v>78</v>
      </c>
      <c r="B124" s="32">
        <f ca="1">'Confronto SJF - FIFO'!D130</f>
        <v>1.4578432614953794</v>
      </c>
      <c r="C124" s="33">
        <f ca="1">'Confronto SJF - FIFO'!H130</f>
        <v>0.81883961366251901</v>
      </c>
      <c r="D124" s="34">
        <f ca="1">'Confronto SJF - FIFO'!P130</f>
        <v>13.539453999999999</v>
      </c>
      <c r="E124" s="35">
        <f ca="1">'Confronto SJF - FIFO'!O130</f>
        <v>14.358293912469918</v>
      </c>
      <c r="G124">
        <f t="shared" ca="1" si="10"/>
        <v>28.258076231222745</v>
      </c>
      <c r="H124">
        <f t="shared" ca="1" si="11"/>
        <v>31.757002526565941</v>
      </c>
      <c r="J124" t="s">
        <v>138</v>
      </c>
      <c r="K124">
        <f t="shared" ca="1" si="7"/>
        <v>33.511598941855702</v>
      </c>
      <c r="L124">
        <f t="shared" ca="1" si="8"/>
        <v>29.298587875489005</v>
      </c>
      <c r="M124">
        <f t="shared" ca="1" si="9"/>
        <v>38.330422899982196</v>
      </c>
    </row>
    <row r="125" spans="1:13" x14ac:dyDescent="0.3">
      <c r="A125" t="s">
        <v>77</v>
      </c>
      <c r="B125" s="32">
        <f ca="1">'Confronto SJF - FIFO'!D131</f>
        <v>1.127388653167537</v>
      </c>
      <c r="C125" s="33">
        <f ca="1">'Confronto SJF - FIFO'!H131</f>
        <v>1.2250521978587154</v>
      </c>
      <c r="D125" s="34">
        <f ca="1">'Confronto SJF - FIFO'!P131</f>
        <v>13.230905</v>
      </c>
      <c r="E125" s="35">
        <f ca="1">'Confronto SJF - FIFO'!O131</f>
        <v>14.455957457161077</v>
      </c>
      <c r="G125">
        <f t="shared" ca="1" si="10"/>
        <v>28.774894830796949</v>
      </c>
      <c r="H125">
        <f t="shared" ca="1" si="11"/>
        <v>23.018276416342541</v>
      </c>
      <c r="J125" t="s">
        <v>137</v>
      </c>
      <c r="K125">
        <f t="shared" ca="1" si="7"/>
        <v>31.718307349173184</v>
      </c>
      <c r="L125">
        <f t="shared" ca="1" si="8"/>
        <v>30.091302686915995</v>
      </c>
      <c r="M125">
        <f t="shared" ca="1" si="9"/>
        <v>33.433282419310309</v>
      </c>
    </row>
    <row r="126" spans="1:13" x14ac:dyDescent="0.3">
      <c r="A126" t="s">
        <v>76</v>
      </c>
      <c r="B126" s="32">
        <f ca="1">'Confronto SJF - FIFO'!D132</f>
        <v>0.76047806012031249</v>
      </c>
      <c r="C126" s="33">
        <f ca="1">'Confronto SJF - FIFO'!H132</f>
        <v>3.1865967308223655</v>
      </c>
      <c r="D126" s="34">
        <f ca="1">'Confronto SJF - FIFO'!P132</f>
        <v>13.695479000000001</v>
      </c>
      <c r="E126" s="35">
        <f ca="1">'Confronto SJF - FIFO'!O132</f>
        <v>16.882076127863144</v>
      </c>
      <c r="G126">
        <f t="shared" ca="1" si="10"/>
        <v>21.084522547089954</v>
      </c>
      <c r="H126">
        <f t="shared" ca="1" si="11"/>
        <v>24.792999605766692</v>
      </c>
      <c r="J126" t="s">
        <v>136</v>
      </c>
      <c r="K126">
        <f t="shared" ca="1" si="7"/>
        <v>35.757998947526566</v>
      </c>
      <c r="L126">
        <f t="shared" ca="1" si="8"/>
        <v>25.711592835600001</v>
      </c>
      <c r="M126">
        <f t="shared" ca="1" si="9"/>
        <v>49.729882427234429</v>
      </c>
    </row>
    <row r="127" spans="1:13" x14ac:dyDescent="0.3">
      <c r="A127" t="s">
        <v>75</v>
      </c>
      <c r="B127" s="32">
        <f ca="1">'Confronto SJF - FIFO'!D133</f>
        <v>2.2137943349905598</v>
      </c>
      <c r="C127" s="33">
        <f ca="1">'Confronto SJF - FIFO'!H133</f>
        <v>1.6786922137141815</v>
      </c>
      <c r="D127" s="34">
        <f ca="1">'Confronto SJF - FIFO'!P133</f>
        <v>14.668282</v>
      </c>
      <c r="E127" s="35">
        <f ca="1">'Confronto SJF - FIFO'!O133</f>
        <v>16.346974006586777</v>
      </c>
      <c r="G127">
        <f t="shared" ca="1" si="10"/>
        <v>21.507469178133153</v>
      </c>
      <c r="H127">
        <f t="shared" ca="1" si="11"/>
        <v>22.774587498283605</v>
      </c>
      <c r="J127" t="s">
        <v>135</v>
      </c>
      <c r="K127">
        <f t="shared" ref="K127:K158" ca="1" si="12">$D67*$E67</f>
        <v>47.773366971008748</v>
      </c>
      <c r="L127">
        <f t="shared" ref="L127:L158" ca="1" si="13">$D67^2</f>
        <v>46.183889832129005</v>
      </c>
      <c r="M127">
        <f t="shared" ref="M127:M158" ca="1" si="14">$E67^2</f>
        <v>49.417547981394435</v>
      </c>
    </row>
    <row r="128" spans="1:13" x14ac:dyDescent="0.3">
      <c r="A128" t="s">
        <v>74</v>
      </c>
      <c r="B128" s="32">
        <f ca="1">'Confronto SJF - FIFO'!D134</f>
        <v>0.26082957352582248</v>
      </c>
      <c r="C128" s="33">
        <f ca="1">'Confronto SJF - FIFO'!H134</f>
        <v>0.39298790494010494</v>
      </c>
      <c r="D128" s="34">
        <f ca="1">'Confronto SJF - FIFO'!P134</f>
        <v>16.086144000000001</v>
      </c>
      <c r="E128" s="35">
        <f ca="1">'Confronto SJF - FIFO'!O134</f>
        <v>16.479132338001051</v>
      </c>
      <c r="G128">
        <f t="shared" ca="1" si="10"/>
        <v>41.708587485385941</v>
      </c>
      <c r="H128">
        <f t="shared" ca="1" si="11"/>
        <v>42.252907760694612</v>
      </c>
      <c r="J128" t="s">
        <v>134</v>
      </c>
      <c r="K128">
        <f t="shared" ca="1" si="12"/>
        <v>50.914397874247378</v>
      </c>
      <c r="L128">
        <f t="shared" ca="1" si="13"/>
        <v>49.022528588881002</v>
      </c>
      <c r="M128">
        <f t="shared" ca="1" si="14"/>
        <v>52.879277865016753</v>
      </c>
    </row>
    <row r="129" spans="1:13" x14ac:dyDescent="0.3">
      <c r="A129" t="s">
        <v>73</v>
      </c>
      <c r="B129" s="32">
        <f ca="1">'Confronto SJF - FIFO'!D135</f>
        <v>1.0359644147599509</v>
      </c>
      <c r="C129" s="33">
        <f ca="1">'Confronto SJF - FIFO'!H135</f>
        <v>0.77825148597675176</v>
      </c>
      <c r="D129" s="34">
        <f ca="1">'Confronto SJF - FIFO'!P135</f>
        <v>15.443168</v>
      </c>
      <c r="E129" s="35">
        <f ca="1">'Confronto SJF - FIFO'!O135</f>
        <v>16.221419409217845</v>
      </c>
      <c r="G129">
        <f t="shared" ca="1" si="10"/>
        <v>33.671589572550751</v>
      </c>
      <c r="H129">
        <f t="shared" ca="1" si="11"/>
        <v>34.227622752915693</v>
      </c>
      <c r="J129" t="s">
        <v>133</v>
      </c>
      <c r="K129">
        <f t="shared" ca="1" si="12"/>
        <v>59.194236282887772</v>
      </c>
      <c r="L129">
        <f t="shared" ca="1" si="13"/>
        <v>51.171045719235991</v>
      </c>
      <c r="M129">
        <f t="shared" ca="1" si="14"/>
        <v>68.475395799800026</v>
      </c>
    </row>
    <row r="130" spans="1:13" x14ac:dyDescent="0.3">
      <c r="A130" t="s">
        <v>72</v>
      </c>
      <c r="B130" s="32">
        <f ca="1">'Confronto SJF - FIFO'!D136</f>
        <v>2.5858800571522993</v>
      </c>
      <c r="C130" s="33">
        <f ca="1">'Confronto SJF - FIFO'!H136</f>
        <v>0.49414047644125247</v>
      </c>
      <c r="D130" s="34">
        <f ca="1">'Confronto SJF - FIFO'!P136</f>
        <v>13.635539</v>
      </c>
      <c r="E130" s="35">
        <f ca="1">'Confronto SJF - FIFO'!O136</f>
        <v>14.129679828506809</v>
      </c>
      <c r="G130">
        <f t="shared" ca="1" si="10"/>
        <v>33.56165982245475</v>
      </c>
      <c r="H130">
        <f t="shared" ca="1" si="11"/>
        <v>32.860473948827774</v>
      </c>
      <c r="J130" t="s">
        <v>132</v>
      </c>
      <c r="K130">
        <f t="shared" ca="1" si="12"/>
        <v>64.435884545442335</v>
      </c>
      <c r="L130">
        <f t="shared" ca="1" si="13"/>
        <v>62.832239969040998</v>
      </c>
      <c r="M130">
        <f t="shared" ca="1" si="14"/>
        <v>66.080458363403224</v>
      </c>
    </row>
    <row r="131" spans="1:13" x14ac:dyDescent="0.3">
      <c r="A131" t="s">
        <v>71</v>
      </c>
      <c r="B131" s="32">
        <f ca="1">'Confronto SJF - FIFO'!D137</f>
        <v>0.72834016147238978</v>
      </c>
      <c r="C131" s="33">
        <f ca="1">'Confronto SJF - FIFO'!H137</f>
        <v>0.42337468621590929</v>
      </c>
      <c r="D131" s="34">
        <f ca="1">'Confronto SJF - FIFO'!P137</f>
        <v>13.401339999999999</v>
      </c>
      <c r="E131" s="35">
        <f ca="1">'Confronto SJF - FIFO'!O137</f>
        <v>13.824714353250329</v>
      </c>
      <c r="G131">
        <f t="shared" ca="1" si="10"/>
        <v>29.394522938246549</v>
      </c>
      <c r="H131">
        <f t="shared" ca="1" si="11"/>
        <v>31.371530270787094</v>
      </c>
      <c r="J131" t="s">
        <v>131</v>
      </c>
      <c r="K131">
        <f t="shared" ca="1" si="12"/>
        <v>53.617728110692184</v>
      </c>
      <c r="L131">
        <f t="shared" ca="1" si="13"/>
        <v>52.0544934144</v>
      </c>
      <c r="M131">
        <f t="shared" ca="1" si="14"/>
        <v>55.227907893861648</v>
      </c>
    </row>
    <row r="132" spans="1:13" x14ac:dyDescent="0.3">
      <c r="A132" t="s">
        <v>70</v>
      </c>
      <c r="B132" s="32">
        <f ca="1">'Confronto SJF - FIFO'!D138</f>
        <v>0.94289754726593289</v>
      </c>
      <c r="C132" s="33">
        <f ca="1">'Confronto SJF - FIFO'!H138</f>
        <v>0.35297673369632432</v>
      </c>
      <c r="D132" s="34">
        <f ca="1">'Confronto SJF - FIFO'!P138</f>
        <v>12.881817</v>
      </c>
      <c r="E132" s="35">
        <f ca="1">'Confronto SJF - FIFO'!O138</f>
        <v>13.234793539680709</v>
      </c>
      <c r="G132">
        <f t="shared" ca="1" si="10"/>
        <v>23.458064407926752</v>
      </c>
      <c r="H132">
        <f t="shared" ca="1" si="11"/>
        <v>19.438592905837435</v>
      </c>
      <c r="J132" t="s">
        <v>130</v>
      </c>
      <c r="K132">
        <f t="shared" ca="1" si="12"/>
        <v>43.900442370985125</v>
      </c>
      <c r="L132">
        <f t="shared" ca="1" si="13"/>
        <v>39.270701689955999</v>
      </c>
      <c r="M132">
        <f t="shared" ca="1" si="14"/>
        <v>49.075997052049253</v>
      </c>
    </row>
    <row r="133" spans="1:13" x14ac:dyDescent="0.3">
      <c r="A133" t="s">
        <v>69</v>
      </c>
      <c r="B133" s="32">
        <f ca="1">'Confronto SJF - FIFO'!D139</f>
        <v>3.2399440915617466</v>
      </c>
      <c r="C133" s="33">
        <f ca="1">'Confronto SJF - FIFO'!H139</f>
        <v>0.51213387832869683</v>
      </c>
      <c r="D133" s="34">
        <f ca="1">'Confronto SJF - FIFO'!P139</f>
        <v>9.9948490000000003</v>
      </c>
      <c r="E133" s="35">
        <f ca="1">'Confronto SJF - FIFO'!O139</f>
        <v>10.506983326447653</v>
      </c>
      <c r="G133">
        <f t="shared" ca="1" si="10"/>
        <v>9.7863459799449526</v>
      </c>
      <c r="H133">
        <f t="shared" ca="1" si="11"/>
        <v>7.5937550712928692</v>
      </c>
      <c r="J133" t="s">
        <v>129</v>
      </c>
      <c r="K133">
        <f t="shared" ca="1" si="12"/>
        <v>36.287929411408051</v>
      </c>
      <c r="L133">
        <f t="shared" ca="1" si="13"/>
        <v>33.003439399044005</v>
      </c>
      <c r="M133">
        <f t="shared" ca="1" si="14"/>
        <v>39.899290648037031</v>
      </c>
    </row>
    <row r="134" spans="1:13" x14ac:dyDescent="0.3">
      <c r="A134" t="s">
        <v>68</v>
      </c>
      <c r="B134" s="32">
        <f ca="1">'Confronto SJF - FIFO'!D140</f>
        <v>0.50056173265441217</v>
      </c>
      <c r="C134" s="33">
        <f ca="1">'Confronto SJF - FIFO'!H140</f>
        <v>1.5342789626667528</v>
      </c>
      <c r="D134" s="34">
        <f ca="1">'Confronto SJF - FIFO'!P140</f>
        <v>10.006422000000001</v>
      </c>
      <c r="E134" s="35">
        <f ca="1">'Confronto SJF - FIFO'!O140</f>
        <v>11.540700556459996</v>
      </c>
      <c r="G134">
        <f t="shared" ca="1" si="10"/>
        <v>2.9256309923457575</v>
      </c>
      <c r="H134">
        <f t="shared" ca="1" si="11"/>
        <v>4.1600116528182607</v>
      </c>
      <c r="J134" t="s">
        <v>128</v>
      </c>
      <c r="K134">
        <f t="shared" ca="1" si="12"/>
        <v>24.318658274170033</v>
      </c>
      <c r="L134">
        <f t="shared" ca="1" si="13"/>
        <v>15.278717439999999</v>
      </c>
      <c r="M134">
        <f t="shared" ca="1" si="14"/>
        <v>38.707250302801505</v>
      </c>
    </row>
    <row r="135" spans="1:13" x14ac:dyDescent="0.3">
      <c r="A135" t="s">
        <v>67</v>
      </c>
      <c r="B135" s="32">
        <f ca="1">'Confronto SJF - FIFO'!D141</f>
        <v>1.3111294299929785</v>
      </c>
      <c r="C135" s="33">
        <f ca="1">'Confronto SJF - FIFO'!H141</f>
        <v>0.7201403378403276</v>
      </c>
      <c r="D135" s="34">
        <f ca="1">'Confronto SJF - FIFO'!P141</f>
        <v>10.229571</v>
      </c>
      <c r="E135" s="35">
        <f ca="1">'Confronto SJF - FIFO'!O141</f>
        <v>10.949711464307342</v>
      </c>
      <c r="G135">
        <f t="shared" ca="1" si="10"/>
        <v>13.885927281582754</v>
      </c>
      <c r="H135">
        <f t="shared" ca="1" si="11"/>
        <v>9.2040323037391758</v>
      </c>
      <c r="J135" t="s">
        <v>127</v>
      </c>
      <c r="K135">
        <f t="shared" ca="1" si="12"/>
        <v>34.133701454711137</v>
      </c>
      <c r="L135">
        <f t="shared" ca="1" si="13"/>
        <v>29.374665625599999</v>
      </c>
      <c r="M135">
        <f t="shared" ca="1" si="14"/>
        <v>39.663756171711341</v>
      </c>
    </row>
    <row r="136" spans="1:13" x14ac:dyDescent="0.3">
      <c r="A136" t="s">
        <v>66</v>
      </c>
      <c r="B136" s="32">
        <f ca="1">'Confronto SJF - FIFO'!D142</f>
        <v>1.2901565485317157</v>
      </c>
      <c r="C136" s="33">
        <f ca="1">'Confronto SJF - FIFO'!H142</f>
        <v>0.34724761527017112</v>
      </c>
      <c r="D136" s="34">
        <f ca="1">'Confronto SJF - FIFO'!P142</f>
        <v>9.6595549999999992</v>
      </c>
      <c r="E136" s="35">
        <f ca="1">'Confronto SJF - FIFO'!O142</f>
        <v>10.006802531045793</v>
      </c>
      <c r="G136">
        <f t="shared" ca="1" si="10"/>
        <v>4.5509330506305554</v>
      </c>
      <c r="H136">
        <f t="shared" ca="1" si="11"/>
        <v>4.5181529024270208</v>
      </c>
      <c r="J136" t="s">
        <v>126</v>
      </c>
      <c r="K136">
        <f t="shared" ca="1" si="12"/>
        <v>45.751023614331544</v>
      </c>
      <c r="L136">
        <f t="shared" ca="1" si="13"/>
        <v>37.057510150143997</v>
      </c>
      <c r="M136">
        <f t="shared" ca="1" si="14"/>
        <v>56.483993481439803</v>
      </c>
    </row>
    <row r="137" spans="1:13" x14ac:dyDescent="0.3">
      <c r="A137" t="s">
        <v>65</v>
      </c>
      <c r="B137" s="32">
        <f ca="1">'Confronto SJF - FIFO'!D143</f>
        <v>0.2899853092330596</v>
      </c>
      <c r="C137" s="33">
        <f ca="1">'Confronto SJF - FIFO'!H143</f>
        <v>0.33265955967271543</v>
      </c>
      <c r="D137" s="34">
        <f ca="1">'Confronto SJF - FIFO'!P143</f>
        <v>9.7168170000000007</v>
      </c>
      <c r="E137" s="35">
        <f ca="1">'Confronto SJF - FIFO'!O143</f>
        <v>10.049476781485453</v>
      </c>
      <c r="G137">
        <f t="shared" ca="1" si="10"/>
        <v>2.474576281777956</v>
      </c>
      <c r="H137">
        <f t="shared" ca="1" si="11"/>
        <v>1.9635594667931948</v>
      </c>
      <c r="J137" t="s">
        <v>125</v>
      </c>
      <c r="K137">
        <f t="shared" ca="1" si="12"/>
        <v>42.777401291587047</v>
      </c>
      <c r="L137">
        <f t="shared" ca="1" si="13"/>
        <v>42.175335016515994</v>
      </c>
      <c r="M137">
        <f t="shared" ca="1" si="14"/>
        <v>43.388062253563042</v>
      </c>
    </row>
    <row r="138" spans="1:13" x14ac:dyDescent="0.3">
      <c r="A138" t="s">
        <v>64</v>
      </c>
      <c r="B138" s="32">
        <f ca="1">'Confronto SJF - FIFO'!D144</f>
        <v>0.399950257945141</v>
      </c>
      <c r="C138" s="33">
        <f ca="1">'Confronto SJF - FIFO'!H144</f>
        <v>1.4522968105886493</v>
      </c>
      <c r="D138" s="34">
        <f ca="1">'Confronto SJF - FIFO'!P144</f>
        <v>9.6495270000000009</v>
      </c>
      <c r="E138" s="35">
        <f ca="1">'Confronto SJF - FIFO'!O144</f>
        <v>11.101823334128966</v>
      </c>
      <c r="G138">
        <f t="shared" ca="1" si="10"/>
        <v>0.12566074957955906</v>
      </c>
      <c r="H138">
        <f t="shared" ca="1" si="11"/>
        <v>0.40389312989056064</v>
      </c>
      <c r="J138" t="s">
        <v>124</v>
      </c>
      <c r="K138">
        <f t="shared" ca="1" si="12"/>
        <v>8.3036007741212856</v>
      </c>
      <c r="L138">
        <f t="shared" ca="1" si="13"/>
        <v>5.0027866294810002</v>
      </c>
      <c r="M138">
        <f t="shared" ca="1" si="14"/>
        <v>13.782275943905409</v>
      </c>
    </row>
    <row r="139" spans="1:13" x14ac:dyDescent="0.3">
      <c r="A139" t="s">
        <v>63</v>
      </c>
      <c r="B139" s="32">
        <f ca="1">'Confronto SJF - FIFO'!D145</f>
        <v>0.94065012984737861</v>
      </c>
      <c r="C139" s="33">
        <f ca="1">'Confronto SJF - FIFO'!H145</f>
        <v>0.65332061875684122</v>
      </c>
      <c r="D139" s="34">
        <f ca="1">'Confronto SJF - FIFO'!P145</f>
        <v>10.161173</v>
      </c>
      <c r="E139" s="35">
        <f ca="1">'Confronto SJF - FIFO'!O145</f>
        <v>10.814493823038447</v>
      </c>
      <c r="G139">
        <f t="shared" ref="G139:G170" ca="1" si="15">($D99-$D$205)^2</f>
        <v>0.26178633648035848</v>
      </c>
      <c r="H139">
        <f t="shared" ref="H139:H170" ca="1" si="16">($D99-$D$205)*($E99-$E$205)</f>
        <v>-0.17763661765838232</v>
      </c>
      <c r="J139" t="s">
        <v>123</v>
      </c>
      <c r="K139">
        <f t="shared" ca="1" si="12"/>
        <v>7.4379201886890671</v>
      </c>
      <c r="L139">
        <f t="shared" ca="1" si="13"/>
        <v>6.1913980155040003</v>
      </c>
      <c r="M139">
        <f t="shared" ca="1" si="14"/>
        <v>8.9354062838108401</v>
      </c>
    </row>
    <row r="140" spans="1:13" x14ac:dyDescent="0.3">
      <c r="A140" t="s">
        <v>62</v>
      </c>
      <c r="B140" s="32">
        <f ca="1">'Confronto SJF - FIFO'!D146</f>
        <v>1.1262766280170775</v>
      </c>
      <c r="C140" s="33">
        <f ca="1">'Confronto SJF - FIFO'!H146</f>
        <v>1.2345435471872461</v>
      </c>
      <c r="D140" s="34">
        <f ca="1">'Confronto SJF - FIFO'!P146</f>
        <v>9.6882169999999999</v>
      </c>
      <c r="E140" s="35">
        <f ca="1">'Confronto SJF - FIFO'!O146</f>
        <v>10.922760742208624</v>
      </c>
      <c r="G140">
        <f t="shared" ca="1" si="15"/>
        <v>1.5023954018617633</v>
      </c>
      <c r="H140">
        <f t="shared" ca="1" si="16"/>
        <v>2.732550567716606</v>
      </c>
      <c r="J140" t="s">
        <v>122</v>
      </c>
      <c r="K140">
        <f t="shared" ca="1" si="12"/>
        <v>9.289606174451837</v>
      </c>
      <c r="L140">
        <f t="shared" ca="1" si="13"/>
        <v>8.1579012896159995</v>
      </c>
      <c r="M140">
        <f t="shared" ca="1" si="14"/>
        <v>10.578306823381013</v>
      </c>
    </row>
    <row r="141" spans="1:13" x14ac:dyDescent="0.3">
      <c r="A141" t="s">
        <v>61</v>
      </c>
      <c r="B141" s="32">
        <f ca="1">'Confronto SJF - FIFO'!D147</f>
        <v>8.9032487139011601E-2</v>
      </c>
      <c r="C141" s="33">
        <f ca="1">'Confronto SJF - FIFO'!H147</f>
        <v>0.48171789499664136</v>
      </c>
      <c r="D141" s="34">
        <f ca="1">'Confronto SJF - FIFO'!P147</f>
        <v>10.833728000000001</v>
      </c>
      <c r="E141" s="35">
        <f ca="1">'Confronto SJF - FIFO'!O147</f>
        <v>11.315446150066265</v>
      </c>
      <c r="G141">
        <f t="shared" ca="1" si="15"/>
        <v>8.7430589074489653</v>
      </c>
      <c r="H141">
        <f t="shared" ca="1" si="16"/>
        <v>8.2561099027339271</v>
      </c>
      <c r="J141" t="s">
        <v>121</v>
      </c>
      <c r="K141">
        <f t="shared" ca="1" si="12"/>
        <v>4.1116819741294099</v>
      </c>
      <c r="L141">
        <f t="shared" ca="1" si="13"/>
        <v>2.3542820906890003</v>
      </c>
      <c r="M141">
        <f t="shared" ca="1" si="14"/>
        <v>7.1809273507377629</v>
      </c>
    </row>
    <row r="142" spans="1:13" x14ac:dyDescent="0.3">
      <c r="A142" t="s">
        <v>60</v>
      </c>
      <c r="B142" s="32">
        <f ca="1">'Confronto SJF - FIFO'!D148</f>
        <v>0.2023840319719995</v>
      </c>
      <c r="C142" s="33">
        <f ca="1">'Confronto SJF - FIFO'!H148</f>
        <v>2.2961648409304272</v>
      </c>
      <c r="D142" s="34">
        <f ca="1">'Confronto SJF - FIFO'!P148</f>
        <v>11.113061999999999</v>
      </c>
      <c r="E142" s="35">
        <f ca="1">'Confronto SJF - FIFO'!O148</f>
        <v>13.409226959024693</v>
      </c>
      <c r="G142">
        <f t="shared" ca="1" si="15"/>
        <v>10.074875260111368</v>
      </c>
      <c r="H142">
        <f t="shared" ca="1" si="16"/>
        <v>13.93979339335379</v>
      </c>
      <c r="J142" t="s">
        <v>120</v>
      </c>
      <c r="K142">
        <f t="shared" ca="1" si="12"/>
        <v>3.7043330119037048</v>
      </c>
      <c r="L142">
        <f t="shared" ca="1" si="13"/>
        <v>2.0892013956490003</v>
      </c>
      <c r="M142">
        <f t="shared" ca="1" si="14"/>
        <v>6.5680997014731917</v>
      </c>
    </row>
    <row r="143" spans="1:13" x14ac:dyDescent="0.3">
      <c r="A143" t="s">
        <v>59</v>
      </c>
      <c r="B143" s="32">
        <f ca="1">'Confronto SJF - FIFO'!D149</f>
        <v>0.40879634005487719</v>
      </c>
      <c r="C143" s="33">
        <f ca="1">'Confronto SJF - FIFO'!H149</f>
        <v>0.8390584427225708</v>
      </c>
      <c r="D143" s="34">
        <f ca="1">'Confronto SJF - FIFO'!P149</f>
        <v>13.000431000000001</v>
      </c>
      <c r="E143" s="35">
        <f ca="1">'Confronto SJF - FIFO'!O149</f>
        <v>13.839489061692404</v>
      </c>
      <c r="G143">
        <f t="shared" ca="1" si="15"/>
        <v>27.74032409399058</v>
      </c>
      <c r="H143">
        <f t="shared" ca="1" si="16"/>
        <v>24.505615816905937</v>
      </c>
      <c r="J143" t="s">
        <v>119</v>
      </c>
      <c r="K143">
        <f t="shared" ca="1" si="12"/>
        <v>5.3745587351910844</v>
      </c>
      <c r="L143">
        <f t="shared" ca="1" si="13"/>
        <v>5.2403038672410007</v>
      </c>
      <c r="M143">
        <f t="shared" ca="1" si="14"/>
        <v>5.5122531688657768</v>
      </c>
    </row>
    <row r="144" spans="1:13" x14ac:dyDescent="0.3">
      <c r="A144" t="s">
        <v>58</v>
      </c>
      <c r="B144" s="32">
        <f ca="1">'Confronto SJF - FIFO'!D150</f>
        <v>2.3935201502071242</v>
      </c>
      <c r="C144" s="33">
        <f ca="1">'Confronto SJF - FIFO'!H150</f>
        <v>0.30786563570205533</v>
      </c>
      <c r="D144" s="34">
        <f ca="1">'Confronto SJF - FIFO'!P150</f>
        <v>11.445969</v>
      </c>
      <c r="E144" s="35">
        <f ca="1">'Confronto SJF - FIFO'!O150</f>
        <v>11.753834547187324</v>
      </c>
      <c r="G144">
        <f t="shared" ca="1" si="15"/>
        <v>26.173449860800375</v>
      </c>
      <c r="H144">
        <f t="shared" ca="1" si="16"/>
        <v>25.12541531347479</v>
      </c>
      <c r="J144" t="s">
        <v>118</v>
      </c>
      <c r="K144">
        <f t="shared" ca="1" si="12"/>
        <v>1.9376425842882596</v>
      </c>
      <c r="L144">
        <f t="shared" ca="1" si="13"/>
        <v>1.5376992016000002</v>
      </c>
      <c r="M144">
        <f t="shared" ca="1" si="14"/>
        <v>2.4416080729837879</v>
      </c>
    </row>
    <row r="145" spans="1:13" x14ac:dyDescent="0.3">
      <c r="A145" t="s">
        <v>57</v>
      </c>
      <c r="B145" s="32">
        <f ca="1">'Confronto SJF - FIFO'!D151</f>
        <v>0.28968972046894992</v>
      </c>
      <c r="C145" s="33">
        <f ca="1">'Confronto SJF - FIFO'!H151</f>
        <v>0.39773374803050948</v>
      </c>
      <c r="D145" s="34">
        <f ca="1">'Confronto SJF - FIFO'!P151</f>
        <v>11.464145</v>
      </c>
      <c r="E145" s="35">
        <f ca="1">'Confronto SJF - FIFO'!O151</f>
        <v>11.861878574748886</v>
      </c>
      <c r="G145">
        <f t="shared" ca="1" si="15"/>
        <v>3.9014956285761651</v>
      </c>
      <c r="H145">
        <f t="shared" ca="1" si="16"/>
        <v>2.8135390068167592</v>
      </c>
      <c r="J145" t="s">
        <v>117</v>
      </c>
      <c r="K145">
        <f t="shared" ca="1" si="12"/>
        <v>3.8675354937305313</v>
      </c>
      <c r="L145">
        <f t="shared" ca="1" si="13"/>
        <v>1.4200273392009999</v>
      </c>
      <c r="M145">
        <f t="shared" ca="1" si="14"/>
        <v>10.533480857968351</v>
      </c>
    </row>
    <row r="146" spans="1:13" x14ac:dyDescent="0.3">
      <c r="A146" t="s">
        <v>56</v>
      </c>
      <c r="B146" s="32">
        <f ca="1">'Confronto SJF - FIFO'!D152</f>
        <v>0.47185397097008502</v>
      </c>
      <c r="C146" s="33">
        <f ca="1">'Confronto SJF - FIFO'!H152</f>
        <v>0.89069048913163607</v>
      </c>
      <c r="D146" s="34">
        <f ca="1">'Confronto SJF - FIFO'!P152</f>
        <v>11.390025</v>
      </c>
      <c r="E146" s="35">
        <f ca="1">'Confronto SJF - FIFO'!O152</f>
        <v>12.280715092910441</v>
      </c>
      <c r="G146">
        <f t="shared" ca="1" si="15"/>
        <v>0.1199440533043607</v>
      </c>
      <c r="H146">
        <f t="shared" ca="1" si="16"/>
        <v>3.6466296418864383E-2</v>
      </c>
      <c r="J146" t="s">
        <v>116</v>
      </c>
      <c r="K146">
        <f t="shared" ca="1" si="12"/>
        <v>4.1976103542130927</v>
      </c>
      <c r="L146">
        <f t="shared" ca="1" si="13"/>
        <v>3.8576259590559996</v>
      </c>
      <c r="M146">
        <f t="shared" ca="1" si="14"/>
        <v>4.5675586157940362</v>
      </c>
    </row>
    <row r="147" spans="1:13" x14ac:dyDescent="0.3">
      <c r="A147" t="s">
        <v>55</v>
      </c>
      <c r="B147" s="32">
        <f ca="1">'Confronto SJF - FIFO'!D153</f>
        <v>5.8776306547970052E-2</v>
      </c>
      <c r="C147" s="33">
        <f ca="1">'Confronto SJF - FIFO'!H153</f>
        <v>0.76511501281285277</v>
      </c>
      <c r="D147" s="34">
        <f ca="1">'Confronto SJF - FIFO'!P153</f>
        <v>12.221939000000001</v>
      </c>
      <c r="E147" s="35">
        <f ca="1">'Confronto SJF - FIFO'!O153</f>
        <v>12.987053799175328</v>
      </c>
      <c r="G147">
        <f t="shared" ca="1" si="15"/>
        <v>5.5022334278560681E-2</v>
      </c>
      <c r="H147">
        <f t="shared" ca="1" si="16"/>
        <v>4.6275280894783388E-2</v>
      </c>
      <c r="J147" t="s">
        <v>115</v>
      </c>
      <c r="K147">
        <f t="shared" ca="1" si="12"/>
        <v>5.0368943155077881</v>
      </c>
      <c r="L147">
        <f t="shared" ca="1" si="13"/>
        <v>3.6797137545640002</v>
      </c>
      <c r="M147">
        <f t="shared" ca="1" si="14"/>
        <v>6.8946407350646588</v>
      </c>
    </row>
    <row r="148" spans="1:13" x14ac:dyDescent="0.3">
      <c r="A148" t="s">
        <v>54</v>
      </c>
      <c r="B148" s="32">
        <f ca="1">'Confronto SJF - FIFO'!D154</f>
        <v>1.1622679649199559</v>
      </c>
      <c r="C148" s="33">
        <f ca="1">'Confronto SJF - FIFO'!H154</f>
        <v>2.0379856222376072</v>
      </c>
      <c r="D148" s="34">
        <f ca="1">'Confronto SJF - FIFO'!P154</f>
        <v>11.824786</v>
      </c>
      <c r="E148" s="35">
        <f ca="1">'Confronto SJF - FIFO'!O154</f>
        <v>13.862771456492993</v>
      </c>
      <c r="G148">
        <f t="shared" ca="1" si="15"/>
        <v>0.81127382041476148</v>
      </c>
      <c r="H148">
        <f t="shared" ca="1" si="16"/>
        <v>0.18035954079490393</v>
      </c>
      <c r="J148" t="s">
        <v>114</v>
      </c>
      <c r="K148">
        <f t="shared" ca="1" si="12"/>
        <v>9.7078207916132933E-2</v>
      </c>
      <c r="L148">
        <f t="shared" ca="1" si="13"/>
        <v>9.5363037160000001E-3</v>
      </c>
      <c r="M148">
        <f t="shared" ca="1" si="14"/>
        <v>0.9882422721495393</v>
      </c>
    </row>
    <row r="149" spans="1:13" x14ac:dyDescent="0.3">
      <c r="A149" t="s">
        <v>53</v>
      </c>
      <c r="B149" s="32">
        <f ca="1">'Confronto SJF - FIFO'!D155</f>
        <v>1.855831068021025</v>
      </c>
      <c r="C149" s="33">
        <f ca="1">'Confronto SJF - FIFO'!H155</f>
        <v>0.18745356999259721</v>
      </c>
      <c r="D149" s="34">
        <f ca="1">'Confronto SJF - FIFO'!P155</f>
        <v>12.00694</v>
      </c>
      <c r="E149" s="35">
        <f ca="1">'Confronto SJF - FIFO'!O155</f>
        <v>12.194393958464559</v>
      </c>
      <c r="G149">
        <f t="shared" ca="1" si="15"/>
        <v>0.88423442583876122</v>
      </c>
      <c r="H149">
        <f t="shared" ca="1" si="16"/>
        <v>9.0835070526598671E-2</v>
      </c>
      <c r="J149" t="s">
        <v>113</v>
      </c>
      <c r="K149">
        <f t="shared" ca="1" si="12"/>
        <v>1.233705107736748</v>
      </c>
      <c r="L149">
        <f t="shared" ca="1" si="13"/>
        <v>0.56723492249999996</v>
      </c>
      <c r="M149">
        <f t="shared" ca="1" si="14"/>
        <v>2.6832415150809781</v>
      </c>
    </row>
    <row r="150" spans="1:13" x14ac:dyDescent="0.3">
      <c r="A150" t="s">
        <v>52</v>
      </c>
      <c r="B150" s="32">
        <f ca="1">'Confronto SJF - FIFO'!D156</f>
        <v>1.126746976298868</v>
      </c>
      <c r="C150" s="33">
        <f ca="1">'Confronto SJF - FIFO'!H156</f>
        <v>3.4197234585096998</v>
      </c>
      <c r="D150" s="34">
        <f ca="1">'Confronto SJF - FIFO'!P156</f>
        <v>11.067646999999999</v>
      </c>
      <c r="E150" s="35">
        <f ca="1">'Confronto SJF - FIFO'!O156</f>
        <v>14.487370440675392</v>
      </c>
      <c r="G150">
        <f t="shared" ca="1" si="15"/>
        <v>7.505329259727354</v>
      </c>
      <c r="H150">
        <f t="shared" ca="1" si="16"/>
        <v>9.4430676748224869</v>
      </c>
      <c r="J150" t="s">
        <v>112</v>
      </c>
      <c r="K150">
        <f t="shared" ca="1" si="12"/>
        <v>1.421846022156902</v>
      </c>
      <c r="L150">
        <f t="shared" ca="1" si="13"/>
        <v>0.58160451690000003</v>
      </c>
      <c r="M150">
        <f t="shared" ca="1" si="14"/>
        <v>3.475980760085815</v>
      </c>
    </row>
    <row r="151" spans="1:13" x14ac:dyDescent="0.3">
      <c r="A151" t="s">
        <v>51</v>
      </c>
      <c r="B151" s="32">
        <f ca="1">'Confronto SJF - FIFO'!D157</f>
        <v>3.8262254061781671</v>
      </c>
      <c r="C151" s="33">
        <f ca="1">'Confronto SJF - FIFO'!H157</f>
        <v>2.4746752397149807</v>
      </c>
      <c r="D151" s="34">
        <f ca="1">'Confronto SJF - FIFO'!P157</f>
        <v>10.661144999999999</v>
      </c>
      <c r="E151" s="35">
        <f ca="1">'Confronto SJF - FIFO'!O157</f>
        <v>13.135820274212193</v>
      </c>
      <c r="G151">
        <f t="shared" ca="1" si="15"/>
        <v>8.8972962852889523</v>
      </c>
      <c r="H151">
        <f t="shared" ca="1" si="16"/>
        <v>5.6944034061517828</v>
      </c>
      <c r="J151" t="s">
        <v>111</v>
      </c>
      <c r="K151">
        <f t="shared" ca="1" si="12"/>
        <v>1.985175067307799</v>
      </c>
      <c r="L151">
        <f t="shared" ca="1" si="13"/>
        <v>1.2864119084009999</v>
      </c>
      <c r="M151">
        <f t="shared" ca="1" si="14"/>
        <v>3.0634977973416442</v>
      </c>
    </row>
    <row r="152" spans="1:13" x14ac:dyDescent="0.3">
      <c r="A152" t="s">
        <v>50</v>
      </c>
      <c r="B152" s="32">
        <f ca="1">'Confronto SJF - FIFO'!D158</f>
        <v>0.14133687333971268</v>
      </c>
      <c r="C152" s="33">
        <f ca="1">'Confronto SJF - FIFO'!H158</f>
        <v>1.0295752056981418</v>
      </c>
      <c r="D152" s="34">
        <f ca="1">'Confronto SJF - FIFO'!P158</f>
        <v>12.994483000000001</v>
      </c>
      <c r="E152" s="35">
        <f ca="1">'Confronto SJF - FIFO'!O158</f>
        <v>14.024058606570605</v>
      </c>
      <c r="G152">
        <f t="shared" ca="1" si="15"/>
        <v>3.3510143496217561</v>
      </c>
      <c r="H152">
        <f t="shared" ca="1" si="16"/>
        <v>-3.2119447118142617</v>
      </c>
      <c r="J152" t="s">
        <v>110</v>
      </c>
      <c r="K152">
        <f t="shared" ca="1" si="12"/>
        <v>6.0334606628386496</v>
      </c>
      <c r="L152">
        <f t="shared" ca="1" si="13"/>
        <v>2.9327247504000002</v>
      </c>
      <c r="M152">
        <f t="shared" ca="1" si="14"/>
        <v>12.412568743471875</v>
      </c>
    </row>
    <row r="153" spans="1:13" x14ac:dyDescent="0.3">
      <c r="A153" t="s">
        <v>49</v>
      </c>
      <c r="B153" s="32">
        <f ca="1">'Confronto SJF - FIFO'!D159</f>
        <v>0.37469804907454574</v>
      </c>
      <c r="C153" s="33">
        <f ca="1">'Confronto SJF - FIFO'!H159</f>
        <v>1.4878201691539725</v>
      </c>
      <c r="D153" s="34">
        <f ca="1">'Confronto SJF - FIFO'!P159</f>
        <v>13.649361000000001</v>
      </c>
      <c r="E153" s="35">
        <f ca="1">'Confronto SJF - FIFO'!O159</f>
        <v>15.13718072665003</v>
      </c>
      <c r="G153">
        <f t="shared" ca="1" si="15"/>
        <v>1.8468440353849624</v>
      </c>
      <c r="H153">
        <f t="shared" ca="1" si="16"/>
        <v>3.3075058275705618</v>
      </c>
      <c r="J153" t="s">
        <v>109</v>
      </c>
      <c r="K153">
        <f t="shared" ca="1" si="12"/>
        <v>17.512009052256779</v>
      </c>
      <c r="L153">
        <f t="shared" ca="1" si="13"/>
        <v>11.748160698481</v>
      </c>
      <c r="M153">
        <f t="shared" ca="1" si="14"/>
        <v>26.103699882652684</v>
      </c>
    </row>
    <row r="154" spans="1:13" x14ac:dyDescent="0.3">
      <c r="A154" t="s">
        <v>48</v>
      </c>
      <c r="B154" s="32">
        <f ca="1">'Confronto SJF - FIFO'!D160</f>
        <v>0.31976010030850505</v>
      </c>
      <c r="C154" s="33">
        <f ca="1">'Confronto SJF - FIFO'!H160</f>
        <v>0.16108605534717996</v>
      </c>
      <c r="D154" s="34">
        <f ca="1">'Confronto SJF - FIFO'!P160</f>
        <v>14.817421</v>
      </c>
      <c r="E154" s="35">
        <f ca="1">'Confronto SJF - FIFO'!O160</f>
        <v>14.978506681688685</v>
      </c>
      <c r="G154">
        <f t="shared" ca="1" si="15"/>
        <v>10.330839933573767</v>
      </c>
      <c r="H154">
        <f t="shared" ca="1" si="16"/>
        <v>13.223809831320837</v>
      </c>
      <c r="J154" t="s">
        <v>108</v>
      </c>
      <c r="K154">
        <f t="shared" ca="1" si="12"/>
        <v>24.733408751511423</v>
      </c>
      <c r="L154">
        <f t="shared" ca="1" si="13"/>
        <v>23.478143430624996</v>
      </c>
      <c r="M154">
        <f t="shared" ca="1" si="14"/>
        <v>26.055787174014082</v>
      </c>
    </row>
    <row r="155" spans="1:13" x14ac:dyDescent="0.3">
      <c r="A155" t="s">
        <v>47</v>
      </c>
      <c r="B155" s="32">
        <f ca="1">'Confronto SJF - FIFO'!D161</f>
        <v>1.5871599011545325</v>
      </c>
      <c r="C155" s="33">
        <f ca="1">'Confronto SJF - FIFO'!H161</f>
        <v>0.52440894784729186</v>
      </c>
      <c r="D155" s="34">
        <f ca="1">'Confronto SJF - FIFO'!P161</f>
        <v>13.391347</v>
      </c>
      <c r="E155" s="35">
        <f ca="1">'Confronto SJF - FIFO'!O161</f>
        <v>13.915755728381441</v>
      </c>
      <c r="G155">
        <f t="shared" ca="1" si="15"/>
        <v>25.152465751907577</v>
      </c>
      <c r="H155">
        <f t="shared" ca="1" si="16"/>
        <v>27.990184314471705</v>
      </c>
      <c r="J155" t="s">
        <v>107</v>
      </c>
      <c r="K155">
        <f t="shared" ca="1" si="12"/>
        <v>14.336010935632311</v>
      </c>
      <c r="L155">
        <f t="shared" ca="1" si="13"/>
        <v>8.0060136600999989</v>
      </c>
      <c r="M155">
        <f t="shared" ca="1" si="14"/>
        <v>25.670854219352176</v>
      </c>
    </row>
    <row r="156" spans="1:13" x14ac:dyDescent="0.3">
      <c r="A156" t="s">
        <v>46</v>
      </c>
      <c r="B156" s="32">
        <f ca="1">'Confronto SJF - FIFO'!D162</f>
        <v>0.41120370987237548</v>
      </c>
      <c r="C156" s="33">
        <f ca="1">'Confronto SJF - FIFO'!H162</f>
        <v>0.22752506308065329</v>
      </c>
      <c r="D156" s="34">
        <f ca="1">'Confronto SJF - FIFO'!P162</f>
        <v>13.504552</v>
      </c>
      <c r="E156" s="35">
        <f ca="1">'Confronto SJF - FIFO'!O162</f>
        <v>13.732077081589722</v>
      </c>
      <c r="G156">
        <f t="shared" ca="1" si="15"/>
        <v>34.200044364864169</v>
      </c>
      <c r="H156">
        <f t="shared" ca="1" si="16"/>
        <v>38.321006174761727</v>
      </c>
      <c r="J156" t="s">
        <v>106</v>
      </c>
      <c r="K156">
        <f t="shared" ca="1" si="12"/>
        <v>23.96455163175095</v>
      </c>
      <c r="L156">
        <f t="shared" ca="1" si="13"/>
        <v>19.559222701561001</v>
      </c>
      <c r="M156">
        <f t="shared" ca="1" si="14"/>
        <v>29.36209396833663</v>
      </c>
    </row>
    <row r="157" spans="1:13" x14ac:dyDescent="0.3">
      <c r="A157" t="s">
        <v>45</v>
      </c>
      <c r="B157" s="32">
        <f ca="1">'Confronto SJF - FIFO'!D163</f>
        <v>0.63968445731044732</v>
      </c>
      <c r="C157" s="33">
        <f ca="1">'Confronto SJF - FIFO'!H163</f>
        <v>0.81347086781261568</v>
      </c>
      <c r="D157" s="34">
        <f ca="1">'Confronto SJF - FIFO'!P163</f>
        <v>13.092393</v>
      </c>
      <c r="E157" s="35">
        <f ca="1">'Confronto SJF - FIFO'!O163</f>
        <v>13.905863492091896</v>
      </c>
      <c r="G157">
        <f t="shared" ca="1" si="15"/>
        <v>55.43902032123458</v>
      </c>
      <c r="H157">
        <f t="shared" ca="1" si="16"/>
        <v>53.820817238654563</v>
      </c>
      <c r="J157" t="s">
        <v>105</v>
      </c>
      <c r="K157">
        <f t="shared" ca="1" si="12"/>
        <v>31.333694750861522</v>
      </c>
      <c r="L157">
        <f t="shared" ca="1" si="13"/>
        <v>24.828236046436</v>
      </c>
      <c r="M157">
        <f t="shared" ca="1" si="14"/>
        <v>39.543704389788921</v>
      </c>
    </row>
    <row r="158" spans="1:13" x14ac:dyDescent="0.3">
      <c r="A158" t="s">
        <v>44</v>
      </c>
      <c r="B158" s="32">
        <f ca="1">'Confronto SJF - FIFO'!D164</f>
        <v>1.011265406403757</v>
      </c>
      <c r="C158" s="33">
        <f ca="1">'Confronto SJF - FIFO'!H164</f>
        <v>6.0294362068341718E-2</v>
      </c>
      <c r="D158" s="34">
        <f ca="1">'Confronto SJF - FIFO'!P164</f>
        <v>12.894598</v>
      </c>
      <c r="E158" s="35">
        <f ca="1">'Confronto SJF - FIFO'!O164</f>
        <v>12.954892447756464</v>
      </c>
      <c r="G158">
        <f t="shared" ca="1" si="15"/>
        <v>64.519938130844167</v>
      </c>
      <c r="H158">
        <f t="shared" ca="1" si="16"/>
        <v>58.752785573421008</v>
      </c>
      <c r="J158" t="s">
        <v>104</v>
      </c>
      <c r="K158">
        <f t="shared" ca="1" si="12"/>
        <v>39.671697598750718</v>
      </c>
      <c r="L158">
        <f t="shared" ca="1" si="13"/>
        <v>38.457188320996003</v>
      </c>
      <c r="M158">
        <f t="shared" ca="1" si="14"/>
        <v>40.924562067047191</v>
      </c>
    </row>
    <row r="159" spans="1:13" x14ac:dyDescent="0.3">
      <c r="A159" t="s">
        <v>43</v>
      </c>
      <c r="B159" s="32">
        <f ca="1">'Confronto SJF - FIFO'!D165</f>
        <v>0.35122823983295082</v>
      </c>
      <c r="C159" s="33">
        <f ca="1">'Confronto SJF - FIFO'!H165</f>
        <v>8.9601319104318775E-2</v>
      </c>
      <c r="D159" s="34">
        <f ca="1">'Confronto SJF - FIFO'!P165</f>
        <v>12.603664</v>
      </c>
      <c r="E159" s="35">
        <f ca="1">'Confronto SJF - FIFO'!O165</f>
        <v>12.693265527027847</v>
      </c>
      <c r="G159">
        <f t="shared" ca="1" si="15"/>
        <v>51.395971868882576</v>
      </c>
      <c r="H159">
        <f t="shared" ca="1" si="16"/>
        <v>47.77709465667126</v>
      </c>
      <c r="J159" t="s">
        <v>103</v>
      </c>
      <c r="K159">
        <f t="shared" ref="K159:K190" ca="1" si="17">$D99*$E99</f>
        <v>47.651371787768475</v>
      </c>
      <c r="L159">
        <f t="shared" ref="L159:L190" ca="1" si="18">$D99^2</f>
        <v>36.532619585284003</v>
      </c>
      <c r="M159">
        <f t="shared" ref="M159:M190" ca="1" si="19">$E99^2</f>
        <v>62.154131267684882</v>
      </c>
    </row>
    <row r="160" spans="1:13" x14ac:dyDescent="0.3">
      <c r="A160" t="s">
        <v>42</v>
      </c>
      <c r="B160" s="32">
        <f ca="1">'Confronto SJF - FIFO'!D166</f>
        <v>0.62312916119580497</v>
      </c>
      <c r="C160" s="33">
        <f ca="1">'Confronto SJF - FIFO'!H166</f>
        <v>0.51385148228406696</v>
      </c>
      <c r="D160" s="34">
        <f ca="1">'Confronto SJF - FIFO'!P166</f>
        <v>12.070136</v>
      </c>
      <c r="E160" s="35">
        <f ca="1">'Confronto SJF - FIFO'!O166</f>
        <v>12.583987848116095</v>
      </c>
      <c r="G160">
        <f t="shared" ca="1" si="15"/>
        <v>28.973474361561962</v>
      </c>
      <c r="H160">
        <f t="shared" ca="1" si="16"/>
        <v>34.240868259271501</v>
      </c>
      <c r="J160" t="s">
        <v>102</v>
      </c>
      <c r="K160">
        <f t="shared" ca="1" si="17"/>
        <v>75.994625290650291</v>
      </c>
      <c r="L160">
        <f t="shared" ca="1" si="18"/>
        <v>60.553220744025005</v>
      </c>
      <c r="M160">
        <f t="shared" ca="1" si="19"/>
        <v>95.373672979008333</v>
      </c>
    </row>
    <row r="161" spans="1:13" x14ac:dyDescent="0.3">
      <c r="A161" t="s">
        <v>41</v>
      </c>
      <c r="B161" s="32">
        <f ca="1">'Confronto SJF - FIFO'!D167</f>
        <v>2.2951263452680344</v>
      </c>
      <c r="C161" s="33">
        <f ca="1">'Confronto SJF - FIFO'!H167</f>
        <v>1.2626355224387</v>
      </c>
      <c r="D161" s="34">
        <f ca="1">'Confronto SJF - FIFO'!P167</f>
        <v>10.288862</v>
      </c>
      <c r="E161" s="35">
        <f ca="1">'Confronto SJF - FIFO'!O167</f>
        <v>11.55149702528675</v>
      </c>
      <c r="G161">
        <f t="shared" ca="1" si="15"/>
        <v>52.615574691208387</v>
      </c>
      <c r="H161">
        <f t="shared" ca="1" si="16"/>
        <v>46.141599582180476</v>
      </c>
      <c r="J161" t="s">
        <v>101</v>
      </c>
      <c r="K161">
        <f t="shared" ca="1" si="17"/>
        <v>98.255064031414008</v>
      </c>
      <c r="L161">
        <f t="shared" ca="1" si="18"/>
        <v>90.492203282120997</v>
      </c>
      <c r="M161">
        <f t="shared" ca="1" si="19"/>
        <v>106.68386068266577</v>
      </c>
    </row>
    <row r="162" spans="1:13" x14ac:dyDescent="0.3">
      <c r="A162" t="s">
        <v>40</v>
      </c>
      <c r="B162" s="32">
        <f ca="1">'Confronto SJF - FIFO'!D168</f>
        <v>0.80490276846550379</v>
      </c>
      <c r="C162" s="33">
        <f ca="1">'Confronto SJF - FIFO'!H168</f>
        <v>0.9151267362887795</v>
      </c>
      <c r="D162" s="34">
        <f ca="1">'Confronto SJF - FIFO'!P168</f>
        <v>10.746594</v>
      </c>
      <c r="E162" s="35">
        <f ca="1">'Confronto SJF - FIFO'!O168</f>
        <v>11.661720993110038</v>
      </c>
      <c r="G162">
        <f t="shared" ca="1" si="15"/>
        <v>45.212463787657981</v>
      </c>
      <c r="H162">
        <f t="shared" ca="1" si="16"/>
        <v>45.645305211017927</v>
      </c>
      <c r="J162" t="s">
        <v>100</v>
      </c>
      <c r="K162">
        <f t="shared" ca="1" si="17"/>
        <v>116.06239792273394</v>
      </c>
      <c r="L162">
        <f t="shared" ca="1" si="18"/>
        <v>94.672257821089005</v>
      </c>
      <c r="M162">
        <f t="shared" ca="1" si="19"/>
        <v>142.28540146397964</v>
      </c>
    </row>
    <row r="163" spans="1:13" x14ac:dyDescent="0.3">
      <c r="A163" t="s">
        <v>39</v>
      </c>
      <c r="B163" s="32">
        <f ca="1">'Confronto SJF - FIFO'!D169</f>
        <v>4.9166832772262978</v>
      </c>
      <c r="C163" s="33">
        <f ca="1">'Confronto SJF - FIFO'!H169</f>
        <v>0.55411814949693328</v>
      </c>
      <c r="D163" s="34">
        <f ca="1">'Confronto SJF - FIFO'!P169</f>
        <v>6.7450380000000001</v>
      </c>
      <c r="E163" s="35">
        <f ca="1">'Confronto SJF - FIFO'!O169</f>
        <v>7.2991558653806692</v>
      </c>
      <c r="G163">
        <f t="shared" ca="1" si="15"/>
        <v>57.699161308812968</v>
      </c>
      <c r="H163">
        <f t="shared" ca="1" si="16"/>
        <v>56.671388515415373</v>
      </c>
      <c r="J163" t="s">
        <v>99</v>
      </c>
      <c r="K163">
        <f t="shared" ca="1" si="17"/>
        <v>144.11210038387557</v>
      </c>
      <c r="L163">
        <f t="shared" ca="1" si="18"/>
        <v>139.77815057396103</v>
      </c>
      <c r="M163">
        <f t="shared" ca="1" si="19"/>
        <v>148.58042828419786</v>
      </c>
    </row>
    <row r="164" spans="1:13" x14ac:dyDescent="0.3">
      <c r="A164" t="s">
        <v>38</v>
      </c>
      <c r="B164" s="32">
        <f ca="1">'Confronto SJF - FIFO'!D170</f>
        <v>0.46242019273676777</v>
      </c>
      <c r="C164" s="33">
        <f ca="1">'Confronto SJF - FIFO'!H170</f>
        <v>3.0190210720677859</v>
      </c>
      <c r="D164" s="34">
        <f ca="1">'Confronto SJF - FIFO'!P170</f>
        <v>6.8367360000000001</v>
      </c>
      <c r="E164" s="35">
        <f ca="1">'Confronto SJF - FIFO'!O170</f>
        <v>9.8557567447116696</v>
      </c>
      <c r="G164">
        <f t="shared" ca="1" si="15"/>
        <v>48.770409170425964</v>
      </c>
      <c r="H164">
        <f t="shared" ca="1" si="16"/>
        <v>47.639814920004802</v>
      </c>
      <c r="J164" t="s">
        <v>98</v>
      </c>
      <c r="K164">
        <f t="shared" ca="1" si="17"/>
        <v>145.28855385783459</v>
      </c>
      <c r="L164">
        <f t="shared" ca="1" si="18"/>
        <v>136.23259598438401</v>
      </c>
      <c r="M164">
        <f t="shared" ca="1" si="19"/>
        <v>154.94649962128406</v>
      </c>
    </row>
    <row r="165" spans="1:13" x14ac:dyDescent="0.3">
      <c r="A165" t="s">
        <v>37</v>
      </c>
      <c r="B165" s="32">
        <f ca="1">'Confronto SJF - FIFO'!D171</f>
        <v>0.92939317824332379</v>
      </c>
      <c r="C165" s="33">
        <f ca="1">'Confronto SJF - FIFO'!H171</f>
        <v>9.392433416179799E-2</v>
      </c>
      <c r="D165" s="34">
        <f ca="1">'Confronto SJF - FIFO'!P171</f>
        <v>8.9263639999999995</v>
      </c>
      <c r="E165" s="35">
        <f ca="1">'Confronto SJF - FIFO'!O171</f>
        <v>9.0202879006301373</v>
      </c>
      <c r="G165">
        <f t="shared" ca="1" si="15"/>
        <v>44.556057541049775</v>
      </c>
      <c r="H165">
        <f t="shared" ca="1" si="16"/>
        <v>46.186897168724023</v>
      </c>
      <c r="J165" t="s">
        <v>97</v>
      </c>
      <c r="K165">
        <f t="shared" ca="1" si="17"/>
        <v>76.447324462126161</v>
      </c>
      <c r="L165">
        <f t="shared" ca="1" si="18"/>
        <v>72.779547774649004</v>
      </c>
      <c r="M165">
        <f t="shared" ca="1" si="19"/>
        <v>80.299941344967749</v>
      </c>
    </row>
    <row r="166" spans="1:13" x14ac:dyDescent="0.3">
      <c r="A166" t="s">
        <v>36</v>
      </c>
      <c r="B166" s="32">
        <f ca="1">'Confronto SJF - FIFO'!D172</f>
        <v>4.487331803449876E-2</v>
      </c>
      <c r="C166" s="33">
        <f ca="1">'Confronto SJF - FIFO'!H172</f>
        <v>5.1874958026793185E-2</v>
      </c>
      <c r="D166" s="34">
        <f ca="1">'Confronto SJF - FIFO'!P172</f>
        <v>8.9754149999999999</v>
      </c>
      <c r="E166" s="35">
        <f ca="1">'Confronto SJF - FIFO'!O172</f>
        <v>9.0272895406224336</v>
      </c>
      <c r="G166">
        <f t="shared" ca="1" si="15"/>
        <v>50.973979546920987</v>
      </c>
      <c r="H166">
        <f t="shared" ca="1" si="16"/>
        <v>66.72298048064566</v>
      </c>
      <c r="J166" t="s">
        <v>96</v>
      </c>
      <c r="K166">
        <f t="shared" ca="1" si="17"/>
        <v>52.745933169722406</v>
      </c>
      <c r="L166">
        <f t="shared" ca="1" si="18"/>
        <v>47.640392448804</v>
      </c>
      <c r="M166">
        <f t="shared" ca="1" si="19"/>
        <v>58.398626101466284</v>
      </c>
    </row>
    <row r="167" spans="1:13" x14ac:dyDescent="0.3">
      <c r="A167" t="s">
        <v>35</v>
      </c>
      <c r="B167" s="32">
        <f ca="1">'Confronto SJF - FIFO'!D173</f>
        <v>1.0589560413089414</v>
      </c>
      <c r="C167" s="33">
        <f ca="1">'Confronto SJF - FIFO'!H173</f>
        <v>9.2654547105591248E-2</v>
      </c>
      <c r="D167" s="34">
        <f ca="1">'Confronto SJF - FIFO'!P173</f>
        <v>7.9683330000000003</v>
      </c>
      <c r="E167" s="35">
        <f ca="1">'Confronto SJF - FIFO'!O173</f>
        <v>8.0609880464190837</v>
      </c>
      <c r="G167">
        <f t="shared" ca="1" si="15"/>
        <v>65.811186273208364</v>
      </c>
      <c r="H167">
        <f t="shared" ca="1" si="16"/>
        <v>71.473314671069986</v>
      </c>
      <c r="J167" t="s">
        <v>95</v>
      </c>
      <c r="K167">
        <f t="shared" ca="1" si="17"/>
        <v>52.516483744363768</v>
      </c>
      <c r="L167">
        <f t="shared" ca="1" si="18"/>
        <v>46.110088974481002</v>
      </c>
      <c r="M167">
        <f t="shared" ca="1" si="19"/>
        <v>59.812963414544491</v>
      </c>
    </row>
    <row r="168" spans="1:13" x14ac:dyDescent="0.3">
      <c r="A168" t="s">
        <v>34</v>
      </c>
      <c r="B168" s="32">
        <f ca="1">'Confronto SJF - FIFO'!D174</f>
        <v>1.7486511867757544</v>
      </c>
      <c r="C168" s="33">
        <f ca="1">'Confronto SJF - FIFO'!H174</f>
        <v>0.20052951645181216</v>
      </c>
      <c r="D168" s="34">
        <f ca="1">'Confronto SJF - FIFO'!P174</f>
        <v>6.3123370000000003</v>
      </c>
      <c r="E168" s="35">
        <f ca="1">'Confronto SJF - FIFO'!O174</f>
        <v>6.5128663760951326</v>
      </c>
      <c r="G168">
        <f t="shared" ca="1" si="15"/>
        <v>90.826072957657999</v>
      </c>
      <c r="H168">
        <f t="shared" ca="1" si="16"/>
        <v>85.224705865701523</v>
      </c>
      <c r="J168" t="s">
        <v>94</v>
      </c>
      <c r="K168">
        <f t="shared" ca="1" si="17"/>
        <v>57.690424561670589</v>
      </c>
      <c r="L168">
        <f t="shared" ca="1" si="18"/>
        <v>55.600585296399998</v>
      </c>
      <c r="M168">
        <f t="shared" ca="1" si="19"/>
        <v>59.858813866142832</v>
      </c>
    </row>
    <row r="169" spans="1:13" x14ac:dyDescent="0.3">
      <c r="A169" t="s">
        <v>33</v>
      </c>
      <c r="B169" s="32">
        <f ca="1">'Confronto SJF - FIFO'!D175</f>
        <v>0.55178356963753783</v>
      </c>
      <c r="C169" s="33">
        <f ca="1">'Confronto SJF - FIFO'!H175</f>
        <v>0.47569545572107241</v>
      </c>
      <c r="D169" s="34">
        <f ca="1">'Confronto SJF - FIFO'!P175</f>
        <v>5.9610830000000004</v>
      </c>
      <c r="E169" s="35">
        <f ca="1">'Confronto SJF - FIFO'!O175</f>
        <v>6.4367782621786773</v>
      </c>
      <c r="G169">
        <f t="shared" ca="1" si="15"/>
        <v>78.984019526861175</v>
      </c>
      <c r="H169">
        <f t="shared" ca="1" si="16"/>
        <v>77.184504931352777</v>
      </c>
      <c r="J169" t="s">
        <v>93</v>
      </c>
      <c r="K169">
        <f t="shared" ca="1" si="17"/>
        <v>57.220100761766972</v>
      </c>
      <c r="L169">
        <f t="shared" ca="1" si="18"/>
        <v>56.193164364099992</v>
      </c>
      <c r="M169">
        <f t="shared" ca="1" si="19"/>
        <v>58.265804537580159</v>
      </c>
    </row>
    <row r="170" spans="1:13" x14ac:dyDescent="0.3">
      <c r="A170" t="s">
        <v>32</v>
      </c>
      <c r="B170" s="32">
        <f ca="1">'Confronto SJF - FIFO'!D176</f>
        <v>1.5986125754324565</v>
      </c>
      <c r="C170" s="33">
        <f ca="1">'Confronto SJF - FIFO'!H176</f>
        <v>0.74722185547624431</v>
      </c>
      <c r="D170" s="34">
        <f ca="1">'Confronto SJF - FIFO'!P176</f>
        <v>4.8381660000000002</v>
      </c>
      <c r="E170" s="35">
        <f ca="1">'Confronto SJF - FIFO'!O176</f>
        <v>5.5853875422224633</v>
      </c>
      <c r="G170">
        <f t="shared" ca="1" si="15"/>
        <v>50.121676335288967</v>
      </c>
      <c r="H170">
        <f t="shared" ca="1" si="16"/>
        <v>46.676765383138111</v>
      </c>
      <c r="J170" t="s">
        <v>92</v>
      </c>
      <c r="K170">
        <f t="shared" ca="1" si="17"/>
        <v>15.607504527601661</v>
      </c>
      <c r="L170">
        <f t="shared" ca="1" si="18"/>
        <v>14.564046466369</v>
      </c>
      <c r="M170">
        <f t="shared" ca="1" si="19"/>
        <v>16.725722356187827</v>
      </c>
    </row>
    <row r="171" spans="1:13" x14ac:dyDescent="0.3">
      <c r="A171" t="s">
        <v>31</v>
      </c>
      <c r="B171" s="32">
        <f ca="1">'Confronto SJF - FIFO'!D177</f>
        <v>0.10606019859254461</v>
      </c>
      <c r="C171" s="33">
        <f ca="1">'Confronto SJF - FIFO'!H177</f>
        <v>2.1357866672063648</v>
      </c>
      <c r="D171" s="34">
        <f ca="1">'Confronto SJF - FIFO'!P177</f>
        <v>5.4793269999999996</v>
      </c>
      <c r="E171" s="35">
        <f ca="1">'Confronto SJF - FIFO'!O177</f>
        <v>7.6151140108362654</v>
      </c>
      <c r="G171">
        <f t="shared" ref="G171:G202" ca="1" si="20">($D131-$D$205)^2</f>
        <v>46.860423924462765</v>
      </c>
      <c r="H171">
        <f t="shared" ref="H171:H202" ca="1" si="21">($D131-$D$205)*($E131-$E$205)</f>
        <v>43.04504279622828</v>
      </c>
      <c r="J171" t="s">
        <v>91</v>
      </c>
      <c r="K171">
        <f t="shared" ca="1" si="17"/>
        <v>20.107446136003148</v>
      </c>
      <c r="L171">
        <f t="shared" ca="1" si="18"/>
        <v>12.766607695521001</v>
      </c>
      <c r="M171">
        <f t="shared" ca="1" si="19"/>
        <v>31.669289113827364</v>
      </c>
    </row>
    <row r="172" spans="1:13" x14ac:dyDescent="0.3">
      <c r="A172" t="s">
        <v>30</v>
      </c>
      <c r="B172" s="32">
        <f ca="1">'Confronto SJF - FIFO'!D178</f>
        <v>0.27110051958542214</v>
      </c>
      <c r="C172" s="33">
        <f ca="1">'Confronto SJF - FIFO'!H178</f>
        <v>0.13416235454680076</v>
      </c>
      <c r="D172" s="34">
        <f ca="1">'Confronto SJF - FIFO'!P178</f>
        <v>7.3440130000000003</v>
      </c>
      <c r="E172" s="35">
        <f ca="1">'Confronto SJF - FIFO'!O178</f>
        <v>7.4781758457976366</v>
      </c>
      <c r="G172">
        <f t="shared" ca="1" si="20"/>
        <v>40.017572551891369</v>
      </c>
      <c r="H172">
        <f t="shared" ca="1" si="21"/>
        <v>36.046419457113181</v>
      </c>
      <c r="J172" t="s">
        <v>90</v>
      </c>
      <c r="K172">
        <f t="shared" ca="1" si="17"/>
        <v>43.903722051223134</v>
      </c>
      <c r="L172">
        <f t="shared" ca="1" si="18"/>
        <v>22.328412837024999</v>
      </c>
      <c r="M172">
        <f t="shared" ca="1" si="19"/>
        <v>86.326637903918225</v>
      </c>
    </row>
    <row r="173" spans="1:13" x14ac:dyDescent="0.3">
      <c r="A173" t="s">
        <v>29</v>
      </c>
      <c r="B173" s="32">
        <f ca="1">'Confronto SJF - FIFO'!D179</f>
        <v>0.26329176872986038</v>
      </c>
      <c r="C173" s="33">
        <f ca="1">'Confronto SJF - FIFO'!H179</f>
        <v>0.52344199625378851</v>
      </c>
      <c r="D173" s="34">
        <f ca="1">'Confronto SJF - FIFO'!P179</f>
        <v>7.2148839999999996</v>
      </c>
      <c r="E173" s="35">
        <f ca="1">'Confronto SJF - FIFO'!O179</f>
        <v>7.7383260733215593</v>
      </c>
      <c r="G173">
        <f t="shared" ca="1" si="20"/>
        <v>11.826558679756969</v>
      </c>
      <c r="H173">
        <f t="shared" ca="1" si="21"/>
        <v>10.215058557820635</v>
      </c>
      <c r="J173" t="s">
        <v>89</v>
      </c>
      <c r="K173">
        <f t="shared" ca="1" si="17"/>
        <v>78.914382817054545</v>
      </c>
      <c r="L173">
        <f t="shared" ca="1" si="18"/>
        <v>62.644992989880997</v>
      </c>
      <c r="M173">
        <f t="shared" ca="1" si="19"/>
        <v>99.409059178960305</v>
      </c>
    </row>
    <row r="174" spans="1:13" x14ac:dyDescent="0.3">
      <c r="A174" t="s">
        <v>28</v>
      </c>
      <c r="B174" s="32">
        <f ca="1">'Confronto SJF - FIFO'!D180</f>
        <v>2.2817995097989083</v>
      </c>
      <c r="C174" s="33">
        <f ca="1">'Confronto SJF - FIFO'!H180</f>
        <v>0.42761250200484302</v>
      </c>
      <c r="D174" s="34">
        <f ca="1">'Confronto SJF - FIFO'!P180</f>
        <v>5.4565270000000003</v>
      </c>
      <c r="E174" s="35">
        <f ca="1">'Confronto SJF - FIFO'!O180</f>
        <v>5.8841390655275063</v>
      </c>
      <c r="G174">
        <f t="shared" ca="1" si="20"/>
        <v>11.906291161840372</v>
      </c>
      <c r="H174">
        <f t="shared" ca="1" si="21"/>
        <v>13.816327105884909</v>
      </c>
      <c r="J174" t="s">
        <v>88</v>
      </c>
      <c r="K174">
        <f t="shared" ca="1" si="17"/>
        <v>113.82909220180511</v>
      </c>
      <c r="L174">
        <f t="shared" ca="1" si="18"/>
        <v>95.453583901225002</v>
      </c>
      <c r="M174">
        <f t="shared" ca="1" si="19"/>
        <v>135.74201933470584</v>
      </c>
    </row>
    <row r="175" spans="1:13" x14ac:dyDescent="0.3">
      <c r="A175" t="s">
        <v>27</v>
      </c>
      <c r="B175" s="32">
        <f ca="1">'Confronto SJF - FIFO'!D181</f>
        <v>2.230638563366766</v>
      </c>
      <c r="C175" s="33">
        <f ca="1">'Confronto SJF - FIFO'!H181</f>
        <v>1.6237343452711797</v>
      </c>
      <c r="D175" s="34">
        <f ca="1">'Confronto SJF - FIFO'!P181</f>
        <v>3.6535009999999999</v>
      </c>
      <c r="E175" s="35">
        <f ca="1">'Confronto SJF - FIFO'!O181</f>
        <v>5.2772348474319131</v>
      </c>
      <c r="G175">
        <f t="shared" ca="1" si="20"/>
        <v>13.496059934162568</v>
      </c>
      <c r="H175">
        <f t="shared" ca="1" si="21"/>
        <v>12.538721186839929</v>
      </c>
      <c r="J175" t="s">
        <v>87</v>
      </c>
      <c r="K175">
        <f t="shared" ca="1" si="17"/>
        <v>151.78558823499208</v>
      </c>
      <c r="L175">
        <f t="shared" ca="1" si="18"/>
        <v>133.89026264121603</v>
      </c>
      <c r="M175">
        <f t="shared" ca="1" si="19"/>
        <v>172.07274331501995</v>
      </c>
    </row>
    <row r="176" spans="1:13" x14ac:dyDescent="0.3">
      <c r="A176" t="s">
        <v>26</v>
      </c>
      <c r="B176" s="32">
        <f ca="1">'Confronto SJF - FIFO'!D182</f>
        <v>2.2315380856233755</v>
      </c>
      <c r="C176" s="33">
        <f ca="1">'Confronto SJF - FIFO'!H182</f>
        <v>1.8252280310305675</v>
      </c>
      <c r="D176" s="34">
        <f ca="1">'Confronto SJF - FIFO'!P182</f>
        <v>3.0456970000000001</v>
      </c>
      <c r="E176" s="35">
        <f ca="1">'Confronto SJF - FIFO'!O182</f>
        <v>4.8709247928391051</v>
      </c>
      <c r="G176">
        <f t="shared" ca="1" si="20"/>
        <v>9.6328444400697624</v>
      </c>
      <c r="H176">
        <f t="shared" ca="1" si="21"/>
        <v>7.6667064302972747</v>
      </c>
      <c r="J176" t="s">
        <v>86</v>
      </c>
      <c r="K176">
        <f t="shared" ca="1" si="17"/>
        <v>174.7637002427247</v>
      </c>
      <c r="L176">
        <f t="shared" ca="1" si="18"/>
        <v>153.85805002620899</v>
      </c>
      <c r="M176">
        <f t="shared" ca="1" si="19"/>
        <v>198.50993118219154</v>
      </c>
    </row>
    <row r="177" spans="1:13" x14ac:dyDescent="0.3">
      <c r="A177" t="s">
        <v>25</v>
      </c>
      <c r="B177" s="32">
        <f ca="1">'Confronto SJF - FIFO'!D183</f>
        <v>0.90469311885429449</v>
      </c>
      <c r="C177" s="33">
        <f ca="1">'Confronto SJF - FIFO'!H183</f>
        <v>0.21709262836649268</v>
      </c>
      <c r="D177" s="34">
        <f ca="1">'Confronto SJF - FIFO'!P183</f>
        <v>3.9662320000000002</v>
      </c>
      <c r="E177" s="35">
        <f ca="1">'Confronto SJF - FIFO'!O183</f>
        <v>4.1833243023513091</v>
      </c>
      <c r="G177">
        <f t="shared" ca="1" si="20"/>
        <v>9.9915694998913711</v>
      </c>
      <c r="H177">
        <f t="shared" ca="1" si="21"/>
        <v>7.9430457742110274</v>
      </c>
      <c r="J177" t="s">
        <v>85</v>
      </c>
      <c r="K177">
        <f t="shared" ca="1" si="17"/>
        <v>206.73394480051786</v>
      </c>
      <c r="L177">
        <f t="shared" ca="1" si="18"/>
        <v>196.04511059532101</v>
      </c>
      <c r="M177">
        <f t="shared" ca="1" si="19"/>
        <v>218.00555904199942</v>
      </c>
    </row>
    <row r="178" spans="1:13" x14ac:dyDescent="0.3">
      <c r="A178" t="s">
        <v>24</v>
      </c>
      <c r="B178" s="32">
        <f ca="1">'Confronto SJF - FIFO'!D184</f>
        <v>0.42531304976008122</v>
      </c>
      <c r="C178" s="33">
        <f ca="1">'Confronto SJF - FIFO'!H184</f>
        <v>1.5148609214391482</v>
      </c>
      <c r="D178" s="34">
        <f ca="1">'Confronto SJF - FIFO'!P184</f>
        <v>3.7580110000000002</v>
      </c>
      <c r="E178" s="35">
        <f ca="1">'Confronto SJF - FIFO'!O184</f>
        <v>5.2728721740303683</v>
      </c>
      <c r="G178">
        <f t="shared" ca="1" si="20"/>
        <v>9.5706975466393711</v>
      </c>
      <c r="H178">
        <f t="shared" ca="1" si="21"/>
        <v>11.029551222021324</v>
      </c>
      <c r="J178" t="s">
        <v>84</v>
      </c>
      <c r="K178">
        <f t="shared" ca="1" si="17"/>
        <v>216.65165507324622</v>
      </c>
      <c r="L178">
        <f t="shared" ca="1" si="18"/>
        <v>212.81858441980899</v>
      </c>
      <c r="M178">
        <f t="shared" ca="1" si="19"/>
        <v>220.55376307449916</v>
      </c>
    </row>
    <row r="179" spans="1:13" x14ac:dyDescent="0.3">
      <c r="A179" t="s">
        <v>23</v>
      </c>
      <c r="B179" s="32">
        <f ca="1">'Confronto SJF - FIFO'!D185</f>
        <v>0.76594698475653722</v>
      </c>
      <c r="C179" s="33">
        <f ca="1">'Confronto SJF - FIFO'!H185</f>
        <v>0.22762824535217718</v>
      </c>
      <c r="D179" s="34">
        <f ca="1">'Confronto SJF - FIFO'!P185</f>
        <v>4.5069249999999998</v>
      </c>
      <c r="E179" s="35">
        <f ca="1">'Confronto SJF - FIFO'!O185</f>
        <v>4.7345534346260081</v>
      </c>
      <c r="G179">
        <f t="shared" ca="1" si="20"/>
        <v>12.998190974240167</v>
      </c>
      <c r="H179">
        <f t="shared" ca="1" si="21"/>
        <v>11.817771362591603</v>
      </c>
      <c r="J179" t="s">
        <v>83</v>
      </c>
      <c r="K179">
        <f t="shared" ca="1" si="17"/>
        <v>194.90715710492893</v>
      </c>
      <c r="L179">
        <f t="shared" ca="1" si="18"/>
        <v>188.37482895084099</v>
      </c>
      <c r="M179">
        <f t="shared" ca="1" si="19"/>
        <v>201.66600868229136</v>
      </c>
    </row>
    <row r="180" spans="1:13" x14ac:dyDescent="0.3">
      <c r="A180" t="s">
        <v>22</v>
      </c>
      <c r="B180" s="32">
        <f ca="1">'Confronto SJF - FIFO'!D186</f>
        <v>2.6103586373420287</v>
      </c>
      <c r="C180" s="33">
        <f ca="1">'Confronto SJF - FIFO'!H186</f>
        <v>0.56139483724905082</v>
      </c>
      <c r="D180" s="34">
        <f ca="1">'Confronto SJF - FIFO'!P186</f>
        <v>2.1241949999999998</v>
      </c>
      <c r="E180" s="35">
        <f ca="1">'Confronto SJF - FIFO'!O186</f>
        <v>2.685589634533045</v>
      </c>
      <c r="G180">
        <f t="shared" ca="1" si="20"/>
        <v>9.8115814402113664</v>
      </c>
      <c r="H180">
        <f t="shared" ca="1" si="21"/>
        <v>10.606603785250117</v>
      </c>
      <c r="J180" t="s">
        <v>82</v>
      </c>
      <c r="K180">
        <f t="shared" ca="1" si="17"/>
        <v>165.92093131773339</v>
      </c>
      <c r="L180">
        <f t="shared" ca="1" si="18"/>
        <v>142.52954915347598</v>
      </c>
      <c r="M180">
        <f t="shared" ca="1" si="19"/>
        <v>193.15121399633369</v>
      </c>
    </row>
    <row r="181" spans="1:13" x14ac:dyDescent="0.3">
      <c r="A181" t="s">
        <v>21</v>
      </c>
      <c r="B181" s="32">
        <f ca="1">'Confronto SJF - FIFO'!D187</f>
        <v>0.75325763012294233</v>
      </c>
      <c r="C181" s="33">
        <f ca="1">'Confronto SJF - FIFO'!H187</f>
        <v>0.99353406051388105</v>
      </c>
      <c r="D181" s="34">
        <f ca="1">'Confronto SJF - FIFO'!P187</f>
        <v>1.9323319999999999</v>
      </c>
      <c r="E181" s="35">
        <f ca="1">'Confronto SJF - FIFO'!O187</f>
        <v>2.9258660649240085</v>
      </c>
      <c r="G181">
        <f t="shared" ca="1" si="20"/>
        <v>18.300046823309174</v>
      </c>
      <c r="H181">
        <f t="shared" ca="1" si="21"/>
        <v>16.165333026769961</v>
      </c>
      <c r="J181" t="s">
        <v>81</v>
      </c>
      <c r="K181">
        <f t="shared" ca="1" si="17"/>
        <v>191.92147177205632</v>
      </c>
      <c r="L181">
        <f t="shared" ca="1" si="18"/>
        <v>190.70317405902404</v>
      </c>
      <c r="M181">
        <f t="shared" ca="1" si="19"/>
        <v>193.14755251924581</v>
      </c>
    </row>
    <row r="182" spans="1:13" x14ac:dyDescent="0.3">
      <c r="A182" t="s">
        <v>20</v>
      </c>
      <c r="B182" s="32">
        <f ca="1">'Confronto SJF - FIFO'!D188</f>
        <v>2.172346964554619</v>
      </c>
      <c r="C182" s="33">
        <f ca="1">'Confronto SJF - FIFO'!H188</f>
        <v>1.0451530220180738</v>
      </c>
      <c r="D182" s="34">
        <f ca="1">'Confronto SJF - FIFO'!P188</f>
        <v>0.75351900000000005</v>
      </c>
      <c r="E182" s="35">
        <f ca="1">'Confronto SJF - FIFO'!O188</f>
        <v>1.7986721223874724</v>
      </c>
      <c r="G182">
        <f t="shared" ca="1" si="20"/>
        <v>20.767975227472363</v>
      </c>
      <c r="H182">
        <f t="shared" ca="1" si="21"/>
        <v>26.762647353669561</v>
      </c>
      <c r="J182" t="s">
        <v>80</v>
      </c>
      <c r="K182">
        <f t="shared" ca="1" si="17"/>
        <v>190.23447496040356</v>
      </c>
      <c r="L182">
        <f t="shared" ca="1" si="18"/>
        <v>176.355584651236</v>
      </c>
      <c r="M182">
        <f t="shared" ca="1" si="19"/>
        <v>205.20561078362638</v>
      </c>
    </row>
    <row r="183" spans="1:13" x14ac:dyDescent="0.3">
      <c r="A183" t="s">
        <v>19</v>
      </c>
      <c r="B183" s="32">
        <f ca="1">'Confronto SJF - FIFO'!D189</f>
        <v>0.95648968088196462</v>
      </c>
      <c r="C183" s="33">
        <f ca="1">'Confronto SJF - FIFO'!H189</f>
        <v>0.94087399236301106</v>
      </c>
      <c r="D183" s="34">
        <f ca="1">'Confronto SJF - FIFO'!P189</f>
        <v>0.84218199999999999</v>
      </c>
      <c r="E183" s="35">
        <f ca="1">'Confronto SJF - FIFO'!O189</f>
        <v>1.7830564338685235</v>
      </c>
      <c r="G183">
        <f t="shared" ca="1" si="20"/>
        <v>41.532332971010582</v>
      </c>
      <c r="H183">
        <f t="shared" ca="1" si="21"/>
        <v>40.619299915399502</v>
      </c>
      <c r="J183" t="s">
        <v>79</v>
      </c>
      <c r="K183">
        <f t="shared" ca="1" si="17"/>
        <v>212.2397904274244</v>
      </c>
      <c r="L183">
        <f t="shared" ca="1" si="18"/>
        <v>200.27539619316099</v>
      </c>
      <c r="M183">
        <f t="shared" ca="1" si="19"/>
        <v>224.9189341122634</v>
      </c>
    </row>
    <row r="184" spans="1:13" x14ac:dyDescent="0.3">
      <c r="A184" t="s">
        <v>18</v>
      </c>
      <c r="B184" s="32">
        <f ca="1">'Confronto SJF - FIFO'!D190</f>
        <v>5.7240182790369867E-2</v>
      </c>
      <c r="C184" s="33">
        <f ca="1">'Confronto SJF - FIFO'!H190</f>
        <v>1.5401230768770491</v>
      </c>
      <c r="D184" s="34">
        <f ca="1">'Confronto SJF - FIFO'!P190</f>
        <v>1.725816</v>
      </c>
      <c r="E184" s="35">
        <f ca="1">'Confronto SJF - FIFO'!O190</f>
        <v>3.2659393279552091</v>
      </c>
      <c r="G184">
        <f t="shared" ca="1" si="20"/>
        <v>23.913042801292971</v>
      </c>
      <c r="H184">
        <f t="shared" ca="1" si="21"/>
        <v>20.622655605567971</v>
      </c>
      <c r="J184" t="s">
        <v>78</v>
      </c>
      <c r="K184">
        <f t="shared" ca="1" si="17"/>
        <v>194.40345994636647</v>
      </c>
      <c r="L184">
        <f t="shared" ca="1" si="18"/>
        <v>183.31681461811598</v>
      </c>
      <c r="M184">
        <f t="shared" ca="1" si="19"/>
        <v>206.1606040768707</v>
      </c>
    </row>
    <row r="185" spans="1:13" x14ac:dyDescent="0.3">
      <c r="A185" t="s">
        <v>17</v>
      </c>
      <c r="B185" s="32">
        <f ca="1">'Confronto SJF - FIFO'!D191</f>
        <v>2.1846382915478859</v>
      </c>
      <c r="C185" s="33">
        <f ca="1">'Confronto SJF - FIFO'!H191</f>
        <v>0.43803895225735318</v>
      </c>
      <c r="D185" s="34">
        <f ca="1">'Confronto SJF - FIFO'!P191</f>
        <v>1.0813010000000001</v>
      </c>
      <c r="E185" s="35">
        <f ca="1">'Confronto SJF - FIFO'!O191</f>
        <v>1.519339988664683</v>
      </c>
      <c r="G185">
        <f t="shared" ca="1" si="20"/>
        <v>24.091137952601773</v>
      </c>
      <c r="H185">
        <f t="shared" ca="1" si="21"/>
        <v>21.22961747556699</v>
      </c>
      <c r="J185" t="s">
        <v>77</v>
      </c>
      <c r="K185">
        <f t="shared" ca="1" si="17"/>
        <v>191.26539979973978</v>
      </c>
      <c r="L185">
        <f t="shared" ca="1" si="18"/>
        <v>175.05684711902501</v>
      </c>
      <c r="M185">
        <f t="shared" ca="1" si="19"/>
        <v>208.97470600325093</v>
      </c>
    </row>
    <row r="186" spans="1:13" x14ac:dyDescent="0.3">
      <c r="A186" t="s">
        <v>16</v>
      </c>
      <c r="B186" s="32">
        <f ca="1">'Confronto SJF - FIFO'!D192</f>
        <v>1.442930381999755</v>
      </c>
      <c r="C186" s="33">
        <f ca="1">'Confronto SJF - FIFO'!H192</f>
        <v>0.64832377997138779</v>
      </c>
      <c r="D186" s="34">
        <f ca="1">'Confronto SJF - FIFO'!P192</f>
        <v>7.6410000000000006E-2</v>
      </c>
      <c r="E186" s="35">
        <f ca="1">'Confronto SJF - FIFO'!O192</f>
        <v>0.72473338663630216</v>
      </c>
      <c r="G186">
        <f t="shared" ca="1" si="20"/>
        <v>23.369029426425765</v>
      </c>
      <c r="H186">
        <f t="shared" ca="1" si="21"/>
        <v>22.933747809539202</v>
      </c>
      <c r="J186" t="s">
        <v>76</v>
      </c>
      <c r="K186">
        <f t="shared" ca="1" si="17"/>
        <v>231.208119085551</v>
      </c>
      <c r="L186">
        <f t="shared" ca="1" si="18"/>
        <v>187.56614503944101</v>
      </c>
      <c r="M186">
        <f t="shared" ca="1" si="19"/>
        <v>285.00449438696666</v>
      </c>
    </row>
    <row r="187" spans="1:13" x14ac:dyDescent="0.3">
      <c r="A187" t="s">
        <v>15</v>
      </c>
      <c r="B187" s="32">
        <f ca="1">'Confronto SJF - FIFO'!D193</f>
        <v>2.5567269991078745</v>
      </c>
      <c r="C187" s="33">
        <f ca="1">'Confronto SJF - FIFO'!H193</f>
        <v>1.5079798975940573</v>
      </c>
      <c r="D187" s="34">
        <f ca="1">'Confronto SJF - FIFO'!P193</f>
        <v>0</v>
      </c>
      <c r="E187" s="35">
        <f ca="1">'Confronto SJF - FIFO'!O193</f>
        <v>1.5079798975940548</v>
      </c>
      <c r="G187">
        <f t="shared" ca="1" si="20"/>
        <v>32.104308449208979</v>
      </c>
      <c r="H187">
        <f t="shared" ca="1" si="21"/>
        <v>30.882600841953472</v>
      </c>
      <c r="J187" t="s">
        <v>75</v>
      </c>
      <c r="K187">
        <f t="shared" ca="1" si="17"/>
        <v>239.78202457528468</v>
      </c>
      <c r="L187">
        <f t="shared" ca="1" si="18"/>
        <v>215.15849683152399</v>
      </c>
      <c r="M187">
        <f t="shared" ca="1" si="19"/>
        <v>267.22355917202373</v>
      </c>
    </row>
    <row r="188" spans="1:13" x14ac:dyDescent="0.3">
      <c r="A188" t="s">
        <v>14</v>
      </c>
      <c r="B188" s="32">
        <f ca="1">'Confronto SJF - FIFO'!D194</f>
        <v>0.87887959886578071</v>
      </c>
      <c r="C188" s="33">
        <f ca="1">'Confronto SJF - FIFO'!H194</f>
        <v>1.6774665023090711</v>
      </c>
      <c r="D188" s="34">
        <f ca="1">'Confronto SJF - FIFO'!P194</f>
        <v>0.62909999999999999</v>
      </c>
      <c r="E188" s="35">
        <f ca="1">'Confronto SJF - FIFO'!O194</f>
        <v>2.3065668010373486</v>
      </c>
      <c r="G188">
        <f t="shared" ca="1" si="20"/>
        <v>27.761448416699565</v>
      </c>
      <c r="H188">
        <f t="shared" ca="1" si="21"/>
        <v>33.332019527120075</v>
      </c>
      <c r="J188" t="s">
        <v>74</v>
      </c>
      <c r="K188">
        <f t="shared" ca="1" si="17"/>
        <v>265.08569578414159</v>
      </c>
      <c r="L188">
        <f t="shared" ca="1" si="18"/>
        <v>258.76402878873603</v>
      </c>
      <c r="M188">
        <f t="shared" ca="1" si="19"/>
        <v>271.56180261335197</v>
      </c>
    </row>
    <row r="189" spans="1:13" x14ac:dyDescent="0.3">
      <c r="A189" t="s">
        <v>13</v>
      </c>
      <c r="B189" s="32">
        <f ca="1">'Confronto SJF - FIFO'!D195</f>
        <v>0.46236266150823857</v>
      </c>
      <c r="C189" s="33">
        <f ca="1">'Confronto SJF - FIFO'!H195</f>
        <v>0.22768448639979968</v>
      </c>
      <c r="D189" s="34">
        <f ca="1">'Confronto SJF - FIFO'!P195</f>
        <v>1.844204</v>
      </c>
      <c r="E189" s="35">
        <f ca="1">'Confronto SJF - FIFO'!O195</f>
        <v>2.0718886259288922</v>
      </c>
      <c r="G189">
        <f t="shared" ca="1" si="20"/>
        <v>29.714135799342774</v>
      </c>
      <c r="H189">
        <f t="shared" ca="1" si="21"/>
        <v>25.389917734004985</v>
      </c>
      <c r="J189" t="s">
        <v>73</v>
      </c>
      <c r="K189">
        <f t="shared" ca="1" si="17"/>
        <v>250.51010513501191</v>
      </c>
      <c r="L189">
        <f t="shared" ca="1" si="18"/>
        <v>238.49143787622401</v>
      </c>
      <c r="M189">
        <f t="shared" ca="1" si="19"/>
        <v>263.1344476497494</v>
      </c>
    </row>
    <row r="190" spans="1:13" x14ac:dyDescent="0.3">
      <c r="A190" t="s">
        <v>12</v>
      </c>
      <c r="B190" s="32">
        <f ca="1">'Confronto SJF - FIFO'!D196</f>
        <v>0.57419388854387199</v>
      </c>
      <c r="C190" s="33">
        <f ca="1">'Confronto SJF - FIFO'!H196</f>
        <v>0.17681099749225213</v>
      </c>
      <c r="D190" s="34">
        <f ca="1">'Confronto SJF - FIFO'!P196</f>
        <v>1.497695</v>
      </c>
      <c r="E190" s="35">
        <f ca="1">'Confronto SJF - FIFO'!O196</f>
        <v>1.6745057348772718</v>
      </c>
      <c r="G190">
        <f t="shared" ca="1" si="20"/>
        <v>20.356108236495363</v>
      </c>
      <c r="H190">
        <f t="shared" ca="1" si="21"/>
        <v>31.360282419211234</v>
      </c>
      <c r="J190" t="s">
        <v>72</v>
      </c>
      <c r="K190">
        <f t="shared" ca="1" si="17"/>
        <v>192.6658003591179</v>
      </c>
      <c r="L190">
        <f t="shared" ca="1" si="18"/>
        <v>185.92792382052099</v>
      </c>
      <c r="M190">
        <f t="shared" ca="1" si="19"/>
        <v>199.64785205611221</v>
      </c>
    </row>
    <row r="191" spans="1:13" x14ac:dyDescent="0.3">
      <c r="A191" t="s">
        <v>11</v>
      </c>
      <c r="B191" s="32">
        <f ca="1">'Confronto SJF - FIFO'!D197</f>
        <v>1.9511546520467089E-4</v>
      </c>
      <c r="C191" s="33">
        <f ca="1">'Confronto SJF - FIFO'!H197</f>
        <v>0.93522596262696533</v>
      </c>
      <c r="D191" s="34">
        <f ca="1">'Confronto SJF - FIFO'!P197</f>
        <v>1.6743110000000001</v>
      </c>
      <c r="E191" s="35">
        <f ca="1">'Confronto SJF - FIFO'!O197</f>
        <v>2.6095365820390271</v>
      </c>
      <c r="G191">
        <f t="shared" ca="1" si="20"/>
        <v>16.853261478201762</v>
      </c>
      <c r="H191">
        <f t="shared" ca="1" si="21"/>
        <v>22.986301054837416</v>
      </c>
      <c r="J191" t="s">
        <v>71</v>
      </c>
      <c r="K191">
        <f t="shared" ref="K191:K222" ca="1" si="22">$D131*$E131</f>
        <v>185.26969745078776</v>
      </c>
      <c r="L191">
        <f t="shared" ref="L191:L222" ca="1" si="23">$D131^2</f>
        <v>179.59591379559998</v>
      </c>
      <c r="M191">
        <f t="shared" ref="M191:M222" ca="1" si="24">$E131^2</f>
        <v>191.12272694896566</v>
      </c>
    </row>
    <row r="192" spans="1:13" x14ac:dyDescent="0.3">
      <c r="A192" t="s">
        <v>10</v>
      </c>
      <c r="B192" s="32">
        <f ca="1">'Confronto SJF - FIFO'!D198</f>
        <v>0.44023561286110252</v>
      </c>
      <c r="C192" s="33">
        <f ca="1">'Confronto SJF - FIFO'!H198</f>
        <v>0.3926217788639364</v>
      </c>
      <c r="D192" s="34">
        <f ca="1">'Confronto SJF - FIFO'!P198</f>
        <v>2.1693009999999999</v>
      </c>
      <c r="E192" s="35">
        <f ca="1">'Confronto SJF - FIFO'!O198</f>
        <v>2.5619227480418658</v>
      </c>
      <c r="G192">
        <f t="shared" ca="1" si="20"/>
        <v>41.455703882988182</v>
      </c>
      <c r="H192">
        <f t="shared" ca="1" si="21"/>
        <v>41.770181756337827</v>
      </c>
      <c r="J192" t="s">
        <v>70</v>
      </c>
      <c r="K192">
        <f t="shared" ca="1" si="22"/>
        <v>170.48818841094914</v>
      </c>
      <c r="L192">
        <f t="shared" ca="1" si="23"/>
        <v>165.941209221489</v>
      </c>
      <c r="M192">
        <f t="shared" ca="1" si="24"/>
        <v>175.15976003797422</v>
      </c>
    </row>
    <row r="193" spans="1:13" x14ac:dyDescent="0.3">
      <c r="A193" t="s">
        <v>9</v>
      </c>
      <c r="B193" s="32">
        <f ca="1">'Confronto SJF - FIFO'!D199</f>
        <v>0.29876094773523554</v>
      </c>
      <c r="C193" s="33">
        <f ca="1">'Confronto SJF - FIFO'!H199</f>
        <v>0.18284191293291308</v>
      </c>
      <c r="D193" s="34">
        <f ca="1">'Confronto SJF - FIFO'!P199</f>
        <v>2.2631619999999999</v>
      </c>
      <c r="E193" s="35">
        <f ca="1">'Confronto SJF - FIFO'!O199</f>
        <v>2.44600371323952</v>
      </c>
      <c r="G193">
        <f t="shared" ca="1" si="20"/>
        <v>50.317577680934583</v>
      </c>
      <c r="H193">
        <f t="shared" ca="1" si="21"/>
        <v>53.914590787716399</v>
      </c>
      <c r="J193" t="s">
        <v>69</v>
      </c>
      <c r="K193">
        <f t="shared" ca="1" si="22"/>
        <v>105.015711793362</v>
      </c>
      <c r="L193">
        <f t="shared" ca="1" si="23"/>
        <v>99.897006532801001</v>
      </c>
      <c r="M193">
        <f t="shared" ca="1" si="24"/>
        <v>110.39669862224899</v>
      </c>
    </row>
    <row r="194" spans="1:13" x14ac:dyDescent="0.3">
      <c r="A194" t="s">
        <v>8</v>
      </c>
      <c r="B194" s="32">
        <f ca="1">'Confronto SJF - FIFO'!D200</f>
        <v>0.58443746950155062</v>
      </c>
      <c r="C194" s="33">
        <f ca="1">'Confronto SJF - FIFO'!H200</f>
        <v>0.47142259276653742</v>
      </c>
      <c r="D194" s="34">
        <f ca="1">'Confronto SJF - FIFO'!P200</f>
        <v>1.8615660000000001</v>
      </c>
      <c r="E194" s="35">
        <f ca="1">'Confronto SJF - FIFO'!O200</f>
        <v>2.3329888365045122</v>
      </c>
      <c r="G194">
        <f t="shared" ca="1" si="20"/>
        <v>68.253181965542566</v>
      </c>
      <c r="H194">
        <f t="shared" ca="1" si="21"/>
        <v>61.481625151541728</v>
      </c>
      <c r="J194" t="s">
        <v>68</v>
      </c>
      <c r="K194">
        <f t="shared" ca="1" si="22"/>
        <v>115.48111994357355</v>
      </c>
      <c r="L194">
        <f t="shared" ca="1" si="23"/>
        <v>100.12848124208401</v>
      </c>
      <c r="M194">
        <f t="shared" ca="1" si="24"/>
        <v>133.18776933387605</v>
      </c>
    </row>
    <row r="195" spans="1:13" x14ac:dyDescent="0.3">
      <c r="A195" t="s">
        <v>7</v>
      </c>
      <c r="B195" s="32">
        <f ca="1">'Confronto SJF - FIFO'!D201</f>
        <v>5.0842471082502873E-3</v>
      </c>
      <c r="C195" s="33">
        <f ca="1">'Confronto SJF - FIFO'!H201</f>
        <v>1.330425856739718</v>
      </c>
      <c r="D195" s="34">
        <f ca="1">'Confronto SJF - FIFO'!P201</f>
        <v>2.3279049999999999</v>
      </c>
      <c r="E195" s="35">
        <f ca="1">'Confronto SJF - FIFO'!O201</f>
        <v>3.6583304461359774</v>
      </c>
      <c r="G195">
        <f t="shared" ca="1" si="20"/>
        <v>46.723710273055367</v>
      </c>
      <c r="H195">
        <f t="shared" ca="1" si="21"/>
        <v>43.604516715501859</v>
      </c>
      <c r="J195" t="s">
        <v>67</v>
      </c>
      <c r="K195">
        <f t="shared" ca="1" si="22"/>
        <v>112.01085085364592</v>
      </c>
      <c r="L195">
        <f t="shared" ca="1" si="23"/>
        <v>104.64412284404099</v>
      </c>
      <c r="M195">
        <f t="shared" ca="1" si="24"/>
        <v>119.89618115158363</v>
      </c>
    </row>
    <row r="196" spans="1:13" x14ac:dyDescent="0.3">
      <c r="A196" t="s">
        <v>6</v>
      </c>
      <c r="B196" s="32">
        <f ca="1">'Confronto SJF - FIFO'!D202</f>
        <v>0.40786081504181704</v>
      </c>
      <c r="C196" s="33">
        <f ca="1">'Confronto SJF - FIFO'!H202</f>
        <v>0.95912838161670233</v>
      </c>
      <c r="D196" s="34">
        <f ca="1">'Confronto SJF - FIFO'!P202</f>
        <v>3.25047</v>
      </c>
      <c r="E196" s="35">
        <f ca="1">'Confronto SJF - FIFO'!O202</f>
        <v>4.2095980127108419</v>
      </c>
      <c r="G196">
        <f t="shared" ca="1" si="20"/>
        <v>48.284145403984382</v>
      </c>
      <c r="H196">
        <f t="shared" ca="1" si="21"/>
        <v>43.050344365328684</v>
      </c>
      <c r="J196" t="s">
        <v>66</v>
      </c>
      <c r="K196">
        <f t="shared" ca="1" si="22"/>
        <v>96.661259422776027</v>
      </c>
      <c r="L196">
        <f t="shared" ca="1" si="23"/>
        <v>93.307002798024982</v>
      </c>
      <c r="M196">
        <f t="shared" ca="1" si="24"/>
        <v>100.13609689534448</v>
      </c>
    </row>
    <row r="197" spans="1:13" x14ac:dyDescent="0.3">
      <c r="A197" t="s">
        <v>5</v>
      </c>
      <c r="B197" s="32">
        <f ca="1">'Confronto SJF - FIFO'!D203</f>
        <v>0.28569406207328885</v>
      </c>
      <c r="C197" s="33">
        <f ca="1">'Confronto SJF - FIFO'!H203</f>
        <v>0.85809809731102282</v>
      </c>
      <c r="D197" s="34">
        <f ca="1">'Confronto SJF - FIFO'!P203</f>
        <v>3.9239039999999998</v>
      </c>
      <c r="E197" s="35">
        <f ca="1">'Confronto SJF - FIFO'!O203</f>
        <v>4.7820020479485947</v>
      </c>
      <c r="G197">
        <f t="shared" ca="1" si="20"/>
        <v>42.726098939616165</v>
      </c>
      <c r="H197">
        <f t="shared" ca="1" si="21"/>
        <v>41.632783493488994</v>
      </c>
      <c r="J197" t="s">
        <v>65</v>
      </c>
      <c r="K197">
        <f t="shared" ca="1" si="22"/>
        <v>97.648926831443134</v>
      </c>
      <c r="L197">
        <f t="shared" ca="1" si="23"/>
        <v>94.416532611489018</v>
      </c>
      <c r="M197">
        <f t="shared" ca="1" si="24"/>
        <v>100.99198358161522</v>
      </c>
    </row>
    <row r="198" spans="1:13" x14ac:dyDescent="0.3">
      <c r="A198" t="s">
        <v>4</v>
      </c>
      <c r="B198" s="32">
        <f ca="1">'Confronto SJF - FIFO'!D204</f>
        <v>0.73398006225489765</v>
      </c>
      <c r="C198" s="33">
        <f ca="1">'Confronto SJF - FIFO'!H204</f>
        <v>2.4582587654953878</v>
      </c>
      <c r="D198" s="34">
        <f ca="1">'Confronto SJF - FIFO'!P204</f>
        <v>4.0480219999999996</v>
      </c>
      <c r="E198" s="35">
        <f ca="1">'Confronto SJF - FIFO'!O204</f>
        <v>6.5062807511891094</v>
      </c>
      <c r="G198">
        <f t="shared" ca="1" si="20"/>
        <v>40.179439696605179</v>
      </c>
      <c r="H198">
        <f t="shared" ca="1" si="21"/>
        <v>34.345031835029324</v>
      </c>
      <c r="J198" t="s">
        <v>64</v>
      </c>
      <c r="K198">
        <f t="shared" ca="1" si="22"/>
        <v>107.12734401190748</v>
      </c>
      <c r="L198">
        <f t="shared" ca="1" si="23"/>
        <v>93.113371323729012</v>
      </c>
      <c r="M198">
        <f t="shared" ca="1" si="24"/>
        <v>123.25048134221039</v>
      </c>
    </row>
    <row r="199" spans="1:13" x14ac:dyDescent="0.3">
      <c r="A199" t="s">
        <v>3</v>
      </c>
      <c r="B199" s="32">
        <f ca="1">'Confronto SJF - FIFO'!D205</f>
        <v>0.89374995548267366</v>
      </c>
      <c r="C199" s="33">
        <f ca="1">'Confronto SJF - FIFO'!H205</f>
        <v>0.25116288253052738</v>
      </c>
      <c r="D199" s="34">
        <f ca="1">'Confronto SJF - FIFO'!P205</f>
        <v>5.6125309999999997</v>
      </c>
      <c r="E199" s="35">
        <f ca="1">'Confronto SJF - FIFO'!O205</f>
        <v>5.8636936782369844</v>
      </c>
      <c r="G199">
        <f t="shared" ca="1" si="20"/>
        <v>36.575780817913973</v>
      </c>
      <c r="H199">
        <f t="shared" ca="1" si="21"/>
        <v>31.186402957049864</v>
      </c>
      <c r="J199" t="s">
        <v>63</v>
      </c>
      <c r="K199">
        <f t="shared" ca="1" si="22"/>
        <v>109.88794264332505</v>
      </c>
      <c r="L199">
        <f t="shared" ca="1" si="23"/>
        <v>103.249436735929</v>
      </c>
      <c r="M199">
        <f t="shared" ca="1" si="24"/>
        <v>116.95327664853673</v>
      </c>
    </row>
    <row r="200" spans="1:13" x14ac:dyDescent="0.3">
      <c r="A200" t="s">
        <v>2</v>
      </c>
      <c r="B200" s="32">
        <f ca="1">'Confronto SJF - FIFO'!D206</f>
        <v>2.4871901646338657</v>
      </c>
      <c r="C200" s="33">
        <f ca="1">'Confronto SJF - FIFO'!H206</f>
        <v>1.8351512750788597</v>
      </c>
      <c r="D200" s="34">
        <f ca="1">'Confronto SJF - FIFO'!P206</f>
        <v>3.3765040000000002</v>
      </c>
      <c r="E200" s="35">
        <f ca="1">'Confronto SJF - FIFO'!O206</f>
        <v>5.2116547886819831</v>
      </c>
      <c r="G200">
        <f t="shared" ca="1" si="20"/>
        <v>30.407100844579571</v>
      </c>
      <c r="H200">
        <f t="shared" ca="1" si="21"/>
        <v>27.832594647381359</v>
      </c>
      <c r="J200" t="s">
        <v>62</v>
      </c>
      <c r="K200">
        <f t="shared" ca="1" si="22"/>
        <v>105.8220763095982</v>
      </c>
      <c r="L200">
        <f t="shared" ca="1" si="23"/>
        <v>93.861548639088994</v>
      </c>
      <c r="M200">
        <f t="shared" ca="1" si="24"/>
        <v>119.30670223153389</v>
      </c>
    </row>
    <row r="201" spans="1:13" x14ac:dyDescent="0.3">
      <c r="A201" t="s">
        <v>1</v>
      </c>
      <c r="B201" s="32">
        <f ca="1">'Confronto SJF - FIFO'!D207</f>
        <v>2.5914871103152293</v>
      </c>
      <c r="C201" s="33">
        <f ca="1">'Confronto SJF - FIFO'!H207</f>
        <v>1.3446443531398178</v>
      </c>
      <c r="D201" s="34">
        <f ca="1">'Confronto SJF - FIFO'!P207</f>
        <v>2.6201680000000001</v>
      </c>
      <c r="E201" s="35">
        <f ca="1">'Confronto SJF - FIFO'!O207</f>
        <v>3.9648120315065682</v>
      </c>
      <c r="G201">
        <f t="shared" ca="1" si="20"/>
        <v>13.935209860512368</v>
      </c>
      <c r="H201">
        <f t="shared" ca="1" si="21"/>
        <v>14.987546760944438</v>
      </c>
      <c r="J201" t="s">
        <v>61</v>
      </c>
      <c r="K201">
        <f t="shared" ca="1" si="22"/>
        <v>122.5884657884651</v>
      </c>
      <c r="L201">
        <f t="shared" ca="1" si="23"/>
        <v>117.36966237798401</v>
      </c>
      <c r="M201">
        <f t="shared" ca="1" si="24"/>
        <v>128.03932157504946</v>
      </c>
    </row>
    <row r="202" spans="1:13" x14ac:dyDescent="0.3">
      <c r="A202" t="s">
        <v>0</v>
      </c>
      <c r="B202" s="32">
        <f ca="1">'Confronto SJF - FIFO'!D208</f>
        <v>6.1568280533355066</v>
      </c>
      <c r="C202" s="33">
        <f ca="1">'Confronto SJF - FIFO'!H208</f>
        <v>0.39361924628116685</v>
      </c>
      <c r="D202" s="34">
        <f ca="1">'Confronto SJF - FIFO'!P208</f>
        <v>0</v>
      </c>
      <c r="E202" s="35">
        <f ca="1">'Confronto SJF - FIFO'!O208</f>
        <v>0.39361924628116185</v>
      </c>
      <c r="G202">
        <f t="shared" ca="1" si="20"/>
        <v>17.56214585241797</v>
      </c>
      <c r="H202">
        <f t="shared" ca="1" si="21"/>
        <v>17.287208937984122</v>
      </c>
      <c r="J202" t="s">
        <v>60</v>
      </c>
      <c r="K202">
        <f t="shared" ca="1" si="22"/>
        <v>149.01757056771285</v>
      </c>
      <c r="L202">
        <f t="shared" ca="1" si="23"/>
        <v>123.50014701584398</v>
      </c>
      <c r="M202">
        <f t="shared" ca="1" si="24"/>
        <v>179.80736763863462</v>
      </c>
    </row>
    <row r="203" spans="1:13" x14ac:dyDescent="0.3">
      <c r="G203">
        <f t="shared" ref="G203:G234" ca="1" si="25">($D163-$D$205)^2</f>
        <v>3.5783548557160434E-2</v>
      </c>
      <c r="H203">
        <f t="shared" ref="H203:H234" ca="1" si="26">($D163-$D$205)*($E163-$E$205)</f>
        <v>-4.4917292869838601E-2</v>
      </c>
      <c r="J203" t="s">
        <v>59</v>
      </c>
      <c r="K203">
        <f t="shared" ca="1" si="22"/>
        <v>179.91932262178685</v>
      </c>
      <c r="L203">
        <f t="shared" ca="1" si="23"/>
        <v>169.01120618576101</v>
      </c>
      <c r="M203">
        <f t="shared" ca="1" si="24"/>
        <v>191.53145748870372</v>
      </c>
    </row>
    <row r="204" spans="1:13" x14ac:dyDescent="0.3">
      <c r="A204" s="59" t="s">
        <v>275</v>
      </c>
      <c r="B204" s="51">
        <f ca="1">SUM(B3:B202)</f>
        <v>209.14568652216829</v>
      </c>
      <c r="C204" s="51">
        <f ca="1">SUM(C3:C202)</f>
        <v>196.14662471762438</v>
      </c>
      <c r="D204" s="51">
        <f ca="1">SUM(D3:D202)</f>
        <v>1311.1745199999998</v>
      </c>
      <c r="E204" s="52">
        <f ca="1">SUM(E3:E202)</f>
        <v>1507.3211399197937</v>
      </c>
      <c r="G204">
        <f t="shared" ca="1" si="25"/>
        <v>7.8884249459560685E-2</v>
      </c>
      <c r="H204">
        <f t="shared" ca="1" si="26"/>
        <v>0.65136464764390933</v>
      </c>
      <c r="J204" t="s">
        <v>58</v>
      </c>
      <c r="K204">
        <f t="shared" ca="1" si="22"/>
        <v>134.53402585823514</v>
      </c>
      <c r="L204">
        <f t="shared" ca="1" si="23"/>
        <v>131.01020634896099</v>
      </c>
      <c r="M204">
        <f t="shared" ca="1" si="24"/>
        <v>138.15262656265426</v>
      </c>
    </row>
    <row r="205" spans="1:13" x14ac:dyDescent="0.3">
      <c r="A205" s="60" t="s">
        <v>276</v>
      </c>
      <c r="B205" s="53">
        <f ca="1">B204/'Modello P-C SJF'!C5</f>
        <v>1.0457284326108414</v>
      </c>
      <c r="C205" s="53">
        <f ca="1">C204/'Modello P-C SJF'!C5</f>
        <v>0.98073312358812192</v>
      </c>
      <c r="D205" s="53">
        <f ca="1">D204/'Modello P-C SJF'!C5</f>
        <v>6.5558725999999989</v>
      </c>
      <c r="E205" s="54">
        <f ca="1">E204/'Modello P-C SJF'!C5</f>
        <v>7.5366056995989688</v>
      </c>
      <c r="G205">
        <f t="shared" ca="1" si="25"/>
        <v>5.6192294774739624</v>
      </c>
      <c r="H205">
        <f t="shared" ca="1" si="26"/>
        <v>3.5170558978774569</v>
      </c>
      <c r="J205" t="s">
        <v>57</v>
      </c>
      <c r="K205">
        <f t="shared" ca="1" si="22"/>
        <v>135.98629595331457</v>
      </c>
      <c r="L205">
        <f t="shared" ca="1" si="23"/>
        <v>131.42662058102502</v>
      </c>
      <c r="M205">
        <f t="shared" ca="1" si="24"/>
        <v>140.70416332208666</v>
      </c>
    </row>
    <row r="206" spans="1:13" x14ac:dyDescent="0.3">
      <c r="G206">
        <f t="shared" ca="1" si="25"/>
        <v>5.8541854253977643</v>
      </c>
      <c r="H206">
        <f t="shared" ca="1" si="26"/>
        <v>3.6067727583511342</v>
      </c>
      <c r="J206" t="s">
        <v>56</v>
      </c>
      <c r="K206">
        <f t="shared" ca="1" si="22"/>
        <v>139.87765192612724</v>
      </c>
      <c r="L206">
        <f t="shared" ca="1" si="23"/>
        <v>129.73266950062498</v>
      </c>
      <c r="M206">
        <f t="shared" ca="1" si="24"/>
        <v>150.8159631932383</v>
      </c>
    </row>
    <row r="207" spans="1:13" x14ac:dyDescent="0.3">
      <c r="G207">
        <f t="shared" ca="1" si="25"/>
        <v>1.995044381568164</v>
      </c>
      <c r="H207">
        <f t="shared" ca="1" si="26"/>
        <v>0.74066929934247905</v>
      </c>
      <c r="J207" t="s">
        <v>55</v>
      </c>
      <c r="K207">
        <f t="shared" ca="1" si="22"/>
        <v>158.72697932323911</v>
      </c>
      <c r="L207">
        <f t="shared" ca="1" si="23"/>
        <v>149.37579291972102</v>
      </c>
      <c r="M207">
        <f t="shared" ca="1" si="24"/>
        <v>168.66356638267433</v>
      </c>
    </row>
    <row r="208" spans="1:13" x14ac:dyDescent="0.3">
      <c r="G208">
        <f t="shared" ca="1" si="25"/>
        <v>5.9309588467359335E-2</v>
      </c>
      <c r="H208">
        <f t="shared" ca="1" si="26"/>
        <v>0.24931697039309944</v>
      </c>
      <c r="J208" t="s">
        <v>54</v>
      </c>
      <c r="K208">
        <f t="shared" ca="1" si="22"/>
        <v>163.92430583993794</v>
      </c>
      <c r="L208">
        <f t="shared" ca="1" si="23"/>
        <v>139.82556394579598</v>
      </c>
      <c r="M208">
        <f t="shared" ca="1" si="24"/>
        <v>192.17643245495685</v>
      </c>
    </row>
    <row r="209" spans="7:13" x14ac:dyDescent="0.3">
      <c r="G209">
        <f t="shared" ca="1" si="25"/>
        <v>0.35377466826815834</v>
      </c>
      <c r="H209">
        <f t="shared" ca="1" si="26"/>
        <v>0.65416592157223863</v>
      </c>
      <c r="J209" t="s">
        <v>53</v>
      </c>
      <c r="K209">
        <f t="shared" ca="1" si="22"/>
        <v>146.41735659564645</v>
      </c>
      <c r="L209">
        <f t="shared" ca="1" si="23"/>
        <v>144.16660816360002</v>
      </c>
      <c r="M209">
        <f t="shared" ca="1" si="24"/>
        <v>148.70324401423693</v>
      </c>
    </row>
    <row r="210" spans="7:13" x14ac:dyDescent="0.3">
      <c r="G210">
        <f t="shared" ca="1" si="25"/>
        <v>2.9505159636835558</v>
      </c>
      <c r="H210">
        <f t="shared" ca="1" si="26"/>
        <v>3.3516203069654598</v>
      </c>
      <c r="J210" t="s">
        <v>52</v>
      </c>
      <c r="K210">
        <f t="shared" ca="1" si="22"/>
        <v>160.34110199562966</v>
      </c>
      <c r="L210">
        <f t="shared" ca="1" si="23"/>
        <v>122.49281011660898</v>
      </c>
      <c r="M210">
        <f t="shared" ca="1" si="24"/>
        <v>209.88390228535508</v>
      </c>
    </row>
    <row r="211" spans="7:13" x14ac:dyDescent="0.3">
      <c r="G211">
        <f t="shared" ca="1" si="25"/>
        <v>1.1589504288793586</v>
      </c>
      <c r="H211">
        <f t="shared" ca="1" si="26"/>
        <v>-8.4517777025942181E-2</v>
      </c>
      <c r="J211" t="s">
        <v>51</v>
      </c>
      <c r="K211">
        <f t="shared" ca="1" si="22"/>
        <v>140.04288463731595</v>
      </c>
      <c r="L211">
        <f t="shared" ca="1" si="23"/>
        <v>113.66001271102499</v>
      </c>
      <c r="M211">
        <f t="shared" ca="1" si="24"/>
        <v>172.54977427640409</v>
      </c>
    </row>
    <row r="212" spans="7:13" x14ac:dyDescent="0.3">
      <c r="G212">
        <f t="shared" ca="1" si="25"/>
        <v>0.62116529011216226</v>
      </c>
      <c r="H212">
        <f t="shared" ca="1" si="26"/>
        <v>-4.6050928346923516E-2</v>
      </c>
      <c r="J212" t="s">
        <v>50</v>
      </c>
      <c r="K212">
        <f t="shared" ca="1" si="22"/>
        <v>182.23539115408542</v>
      </c>
      <c r="L212">
        <f t="shared" ca="1" si="23"/>
        <v>168.85658843728902</v>
      </c>
      <c r="M212">
        <f t="shared" ca="1" si="24"/>
        <v>196.67421980052708</v>
      </c>
    </row>
    <row r="213" spans="7:13" x14ac:dyDescent="0.3">
      <c r="G213">
        <f t="shared" ca="1" si="25"/>
        <v>0.43429602532996092</v>
      </c>
      <c r="H213">
        <f t="shared" ca="1" si="26"/>
        <v>0.13293602589544776</v>
      </c>
      <c r="J213" t="s">
        <v>49</v>
      </c>
      <c r="K213">
        <f t="shared" ca="1" si="22"/>
        <v>206.6128442602886</v>
      </c>
      <c r="L213">
        <f t="shared" ca="1" si="23"/>
        <v>186.30505570832102</v>
      </c>
      <c r="M213">
        <f t="shared" ca="1" si="24"/>
        <v>229.13424035126513</v>
      </c>
    </row>
    <row r="214" spans="7:13" x14ac:dyDescent="0.3">
      <c r="G214">
        <f t="shared" ca="1" si="25"/>
        <v>1.208560748239357</v>
      </c>
      <c r="H214">
        <f t="shared" ca="1" si="26"/>
        <v>1.8166319233132699</v>
      </c>
      <c r="J214" t="s">
        <v>48</v>
      </c>
      <c r="K214">
        <f t="shared" ca="1" si="22"/>
        <v>221.94283945389424</v>
      </c>
      <c r="L214">
        <f t="shared" ca="1" si="23"/>
        <v>219.55596509124098</v>
      </c>
      <c r="M214">
        <f t="shared" ca="1" si="24"/>
        <v>224.35566241339259</v>
      </c>
    </row>
    <row r="215" spans="7:13" x14ac:dyDescent="0.3">
      <c r="G215">
        <f t="shared" ca="1" si="25"/>
        <v>8.4237609044865547</v>
      </c>
      <c r="H215">
        <f t="shared" ca="1" si="26"/>
        <v>6.5575337951974584</v>
      </c>
      <c r="J215" t="s">
        <v>47</v>
      </c>
      <c r="K215">
        <f t="shared" ca="1" si="22"/>
        <v>186.35071372599361</v>
      </c>
      <c r="L215">
        <f t="shared" ca="1" si="23"/>
        <v>179.328174474409</v>
      </c>
      <c r="M215">
        <f t="shared" ca="1" si="24"/>
        <v>193.6482574919809</v>
      </c>
    </row>
    <row r="216" spans="7:13" x14ac:dyDescent="0.3">
      <c r="G216">
        <f t="shared" ca="1" si="25"/>
        <v>12.321332742835352</v>
      </c>
      <c r="H216">
        <f t="shared" ca="1" si="26"/>
        <v>9.3570080762943455</v>
      </c>
      <c r="J216" t="s">
        <v>46</v>
      </c>
      <c r="K216">
        <f t="shared" ca="1" si="22"/>
        <v>185.44554901633666</v>
      </c>
      <c r="L216">
        <f t="shared" ca="1" si="23"/>
        <v>182.37292472070402</v>
      </c>
      <c r="M216">
        <f t="shared" ca="1" si="24"/>
        <v>188.5699409747217</v>
      </c>
    </row>
    <row r="217" spans="7:13" x14ac:dyDescent="0.3">
      <c r="G217">
        <f t="shared" ca="1" si="25"/>
        <v>6.7062384371683539</v>
      </c>
      <c r="H217">
        <f t="shared" ca="1" si="26"/>
        <v>8.6837936495372627</v>
      </c>
      <c r="J217" t="s">
        <v>45</v>
      </c>
      <c r="K217">
        <f t="shared" ca="1" si="22"/>
        <v>182.06102984281949</v>
      </c>
      <c r="L217">
        <f t="shared" ca="1" si="23"/>
        <v>171.41075446644899</v>
      </c>
      <c r="M217">
        <f t="shared" ca="1" si="24"/>
        <v>193.37303946069423</v>
      </c>
    </row>
    <row r="218" spans="7:13" x14ac:dyDescent="0.3">
      <c r="G218">
        <f t="shared" ca="1" si="25"/>
        <v>7.8280295327545533</v>
      </c>
      <c r="H218">
        <f t="shared" ca="1" si="26"/>
        <v>6.3336131038210022</v>
      </c>
      <c r="J218" t="s">
        <v>44</v>
      </c>
      <c r="K218">
        <f t="shared" ca="1" si="22"/>
        <v>167.04813024705561</v>
      </c>
      <c r="L218">
        <f t="shared" ca="1" si="23"/>
        <v>166.27065758160401</v>
      </c>
      <c r="M218">
        <f t="shared" ca="1" si="24"/>
        <v>167.82923833293748</v>
      </c>
    </row>
    <row r="219" spans="7:13" x14ac:dyDescent="0.3">
      <c r="G219">
        <f t="shared" ca="1" si="25"/>
        <v>4.198186267545756</v>
      </c>
      <c r="H219">
        <f t="shared" ca="1" si="26"/>
        <v>5.7412582633909093</v>
      </c>
      <c r="J219" t="s">
        <v>43</v>
      </c>
      <c r="K219">
        <f t="shared" ca="1" si="22"/>
        <v>159.98165376544191</v>
      </c>
      <c r="L219">
        <f t="shared" ca="1" si="23"/>
        <v>158.852346224896</v>
      </c>
      <c r="M219">
        <f t="shared" ca="1" si="24"/>
        <v>161.11898973963355</v>
      </c>
    </row>
    <row r="220" spans="7:13" x14ac:dyDescent="0.3">
      <c r="G220">
        <f t="shared" ca="1" si="25"/>
        <v>19.639766350341748</v>
      </c>
      <c r="H220">
        <f t="shared" ca="1" si="26"/>
        <v>21.498139232792791</v>
      </c>
      <c r="J220" t="s">
        <v>42</v>
      </c>
      <c r="K220">
        <f t="shared" ca="1" si="22"/>
        <v>151.89044474910861</v>
      </c>
      <c r="L220">
        <f t="shared" ca="1" si="23"/>
        <v>145.68818305849598</v>
      </c>
      <c r="M220">
        <f t="shared" ca="1" si="24"/>
        <v>158.35675016153354</v>
      </c>
    </row>
    <row r="221" spans="7:13" x14ac:dyDescent="0.3">
      <c r="G221">
        <f t="shared" ca="1" si="25"/>
        <v>21.377127679848353</v>
      </c>
      <c r="H221">
        <f t="shared" ca="1" si="26"/>
        <v>21.317941896948842</v>
      </c>
      <c r="J221" t="s">
        <v>41</v>
      </c>
      <c r="K221">
        <f t="shared" ca="1" si="22"/>
        <v>118.85175878658588</v>
      </c>
      <c r="L221">
        <f t="shared" ca="1" si="23"/>
        <v>105.860681255044</v>
      </c>
      <c r="M221">
        <f t="shared" ca="1" si="24"/>
        <v>133.43708352520864</v>
      </c>
    </row>
    <row r="222" spans="7:13" x14ac:dyDescent="0.3">
      <c r="G222">
        <f t="shared" ca="1" si="25"/>
        <v>33.667307299432949</v>
      </c>
      <c r="H222">
        <f t="shared" ca="1" si="26"/>
        <v>33.293519548294</v>
      </c>
      <c r="J222" t="s">
        <v>40</v>
      </c>
      <c r="K222">
        <f t="shared" ca="1" si="22"/>
        <v>125.32378085423038</v>
      </c>
      <c r="L222">
        <f t="shared" ca="1" si="23"/>
        <v>115.48928260083601</v>
      </c>
      <c r="M222">
        <f t="shared" ca="1" si="24"/>
        <v>135.99573652114336</v>
      </c>
    </row>
    <row r="223" spans="7:13" x14ac:dyDescent="0.3">
      <c r="G223">
        <f t="shared" ca="1" si="25"/>
        <v>32.646260272528345</v>
      </c>
      <c r="H223">
        <f t="shared" ca="1" si="26"/>
        <v>32.874000356240941</v>
      </c>
      <c r="J223" t="s">
        <v>39</v>
      </c>
      <c r="K223">
        <f t="shared" ref="K223:K254" ca="1" si="27">$D163*$E163</f>
        <v>49.233083679915502</v>
      </c>
      <c r="L223">
        <f t="shared" ref="L223:L254" ca="1" si="28">$D163^2</f>
        <v>45.495537621444001</v>
      </c>
      <c r="M223">
        <f t="shared" ref="M223:M254" ca="1" si="29">$E163^2</f>
        <v>53.277676347121023</v>
      </c>
    </row>
    <row r="224" spans="7:13" x14ac:dyDescent="0.3">
      <c r="G224">
        <f t="shared" ca="1" si="25"/>
        <v>23.329446759203549</v>
      </c>
      <c r="H224">
        <f t="shared" ca="1" si="26"/>
        <v>20.627560294755991</v>
      </c>
      <c r="J224" t="s">
        <v>38</v>
      </c>
      <c r="K224">
        <f t="shared" ca="1" si="27"/>
        <v>67.381206943813083</v>
      </c>
      <c r="L224">
        <f t="shared" ca="1" si="28"/>
        <v>46.740959133696002</v>
      </c>
      <c r="M224">
        <f t="shared" ca="1" si="29"/>
        <v>97.135941010929571</v>
      </c>
    </row>
    <row r="225" spans="7:13" x14ac:dyDescent="0.3">
      <c r="G225">
        <f t="shared" ca="1" si="25"/>
        <v>29.97093420352655</v>
      </c>
      <c r="H225">
        <f t="shared" ca="1" si="26"/>
        <v>32.941951970734642</v>
      </c>
      <c r="J225" t="s">
        <v>37</v>
      </c>
      <c r="K225">
        <f t="shared" ca="1" si="27"/>
        <v>80.518373185820437</v>
      </c>
      <c r="L225">
        <f t="shared" ca="1" si="28"/>
        <v>79.679974260495996</v>
      </c>
      <c r="M225">
        <f t="shared" ca="1" si="29"/>
        <v>81.365593810254452</v>
      </c>
    </row>
    <row r="226" spans="7:13" x14ac:dyDescent="0.3">
      <c r="G226">
        <f t="shared" ca="1" si="25"/>
        <v>41.983435584798748</v>
      </c>
      <c r="H226">
        <f t="shared" ca="1" si="26"/>
        <v>44.137271887817086</v>
      </c>
      <c r="J226" t="s">
        <v>36</v>
      </c>
      <c r="K226">
        <f t="shared" ca="1" si="27"/>
        <v>81.023669952245697</v>
      </c>
      <c r="L226">
        <f t="shared" ca="1" si="28"/>
        <v>80.558074422225005</v>
      </c>
      <c r="M226">
        <f t="shared" ca="1" si="29"/>
        <v>81.491956450231186</v>
      </c>
    </row>
    <row r="227" spans="7:13" x14ac:dyDescent="0.3">
      <c r="G227">
        <f t="shared" ca="1" si="25"/>
        <v>42.979465547430749</v>
      </c>
      <c r="H227">
        <f t="shared" ca="1" si="26"/>
        <v>39.522902711017032</v>
      </c>
      <c r="J227" t="s">
        <v>35</v>
      </c>
      <c r="K227">
        <f t="shared" ca="1" si="27"/>
        <v>64.232637062886724</v>
      </c>
      <c r="L227">
        <f t="shared" ca="1" si="28"/>
        <v>63.494330798889003</v>
      </c>
      <c r="M227">
        <f t="shared" ca="1" si="29"/>
        <v>64.97952828451136</v>
      </c>
    </row>
    <row r="228" spans="7:13" x14ac:dyDescent="0.3">
      <c r="G228">
        <f t="shared" ca="1" si="25"/>
        <v>35.126633452110745</v>
      </c>
      <c r="H228">
        <f t="shared" ca="1" si="26"/>
        <v>30.997251240929184</v>
      </c>
      <c r="J228" t="s">
        <v>34</v>
      </c>
      <c r="K228">
        <f t="shared" ca="1" si="27"/>
        <v>41.111407401881223</v>
      </c>
      <c r="L228">
        <f t="shared" ca="1" si="28"/>
        <v>39.845598401569006</v>
      </c>
      <c r="M228">
        <f t="shared" ca="1" si="29"/>
        <v>42.417428432870544</v>
      </c>
    </row>
    <row r="229" spans="7:13" x14ac:dyDescent="0.3">
      <c r="G229">
        <f t="shared" ca="1" si="25"/>
        <v>22.199820996225956</v>
      </c>
      <c r="H229">
        <f t="shared" ca="1" si="26"/>
        <v>25.747935843895185</v>
      </c>
      <c r="J229" t="s">
        <v>33</v>
      </c>
      <c r="K229">
        <f t="shared" ca="1" si="27"/>
        <v>38.370169473442857</v>
      </c>
      <c r="L229">
        <f t="shared" ca="1" si="28"/>
        <v>35.534510532889001</v>
      </c>
      <c r="M229">
        <f t="shared" ca="1" si="29"/>
        <v>41.432114396455951</v>
      </c>
    </row>
    <row r="230" spans="7:13" x14ac:dyDescent="0.3">
      <c r="G230">
        <f t="shared" ca="1" si="25"/>
        <v>25.585160633141747</v>
      </c>
      <c r="H230">
        <f t="shared" ca="1" si="26"/>
        <v>29.65154273051607</v>
      </c>
      <c r="J230" t="s">
        <v>32</v>
      </c>
      <c r="K230">
        <f t="shared" ca="1" si="27"/>
        <v>27.023032103604287</v>
      </c>
      <c r="L230">
        <f t="shared" ca="1" si="28"/>
        <v>23.407850243556002</v>
      </c>
      <c r="M230">
        <f t="shared" ca="1" si="29"/>
        <v>31.19655399681389</v>
      </c>
    </row>
    <row r="231" spans="7:13" x14ac:dyDescent="0.3">
      <c r="G231">
        <f t="shared" ca="1" si="25"/>
        <v>23.829643654594545</v>
      </c>
      <c r="H231">
        <f t="shared" ca="1" si="26"/>
        <v>24.051791404826492</v>
      </c>
      <c r="J231" t="s">
        <v>31</v>
      </c>
      <c r="K231">
        <f t="shared" ca="1" si="27"/>
        <v>41.725699807653442</v>
      </c>
      <c r="L231">
        <f t="shared" ca="1" si="28"/>
        <v>30.023024372928997</v>
      </c>
      <c r="M231">
        <f t="shared" ca="1" si="29"/>
        <v>57.989961398034794</v>
      </c>
    </row>
    <row r="232" spans="7:13" x14ac:dyDescent="0.3">
      <c r="G232">
        <f t="shared" ca="1" si="25"/>
        <v>19.242010401926553</v>
      </c>
      <c r="H232">
        <f t="shared" ca="1" si="26"/>
        <v>21.821802954304559</v>
      </c>
      <c r="J232" t="s">
        <v>30</v>
      </c>
      <c r="K232">
        <f t="shared" ca="1" si="27"/>
        <v>54.919820627823839</v>
      </c>
      <c r="L232">
        <f t="shared" ca="1" si="28"/>
        <v>53.934526944169008</v>
      </c>
      <c r="M232">
        <f t="shared" ca="1" si="29"/>
        <v>55.923113980671197</v>
      </c>
    </row>
    <row r="233" spans="7:13" x14ac:dyDescent="0.3">
      <c r="G233">
        <f t="shared" ca="1" si="25"/>
        <v>18.427364295352355</v>
      </c>
      <c r="H233">
        <f t="shared" ca="1" si="26"/>
        <v>21.852481107226257</v>
      </c>
      <c r="J233" t="s">
        <v>29</v>
      </c>
      <c r="K233">
        <f t="shared" ca="1" si="27"/>
        <v>55.831124973190541</v>
      </c>
      <c r="L233">
        <f t="shared" ca="1" si="28"/>
        <v>52.054551133455995</v>
      </c>
      <c r="M233">
        <f t="shared" ca="1" si="29"/>
        <v>59.881690417048262</v>
      </c>
    </row>
    <row r="234" spans="7:13" x14ac:dyDescent="0.3">
      <c r="G234">
        <f t="shared" ca="1" si="25"/>
        <v>22.036514454803552</v>
      </c>
      <c r="H234">
        <f t="shared" ca="1" si="26"/>
        <v>24.427372984295598</v>
      </c>
      <c r="J234" t="s">
        <v>28</v>
      </c>
      <c r="K234">
        <f t="shared" ca="1" si="27"/>
        <v>32.106963682805606</v>
      </c>
      <c r="L234">
        <f t="shared" ca="1" si="28"/>
        <v>29.773686901729004</v>
      </c>
      <c r="M234">
        <f t="shared" ca="1" si="29"/>
        <v>34.623092542466914</v>
      </c>
    </row>
    <row r="235" spans="7:13" x14ac:dyDescent="0.3">
      <c r="G235">
        <f t="shared" ref="G235:G242" ca="1" si="30">($D195-$D$205)^2</f>
        <v>17.875710026649756</v>
      </c>
      <c r="H235">
        <f t="shared" ref="H235:H242" ca="1" si="31">($D195-$D$205)*($E195-$E$205)</f>
        <v>16.397222115523313</v>
      </c>
      <c r="J235" t="s">
        <v>27</v>
      </c>
      <c r="K235">
        <f t="shared" ca="1" si="27"/>
        <v>19.280382792327341</v>
      </c>
      <c r="L235">
        <f t="shared" ca="1" si="28"/>
        <v>13.348069557000999</v>
      </c>
      <c r="M235">
        <f t="shared" ca="1" si="29"/>
        <v>27.849207634949728</v>
      </c>
    </row>
    <row r="236" spans="7:13" x14ac:dyDescent="0.3">
      <c r="G236">
        <f t="shared" ca="1" si="30"/>
        <v>10.925686348086753</v>
      </c>
      <c r="H236">
        <f t="shared" ca="1" si="31"/>
        <v>10.997099858459997</v>
      </c>
      <c r="J236" t="s">
        <v>26</v>
      </c>
      <c r="K236">
        <f t="shared" ca="1" si="27"/>
        <v>14.835361028775685</v>
      </c>
      <c r="L236">
        <f t="shared" ca="1" si="28"/>
        <v>9.2762702158090011</v>
      </c>
      <c r="M236">
        <f t="shared" ca="1" si="29"/>
        <v>23.72590833749468</v>
      </c>
    </row>
    <row r="237" spans="7:13" x14ac:dyDescent="0.3">
      <c r="G237">
        <f t="shared" ca="1" si="30"/>
        <v>6.9272587113859556</v>
      </c>
      <c r="H237">
        <f t="shared" ca="1" si="31"/>
        <v>7.25003031658912</v>
      </c>
      <c r="J237" t="s">
        <v>25</v>
      </c>
      <c r="K237">
        <f t="shared" ca="1" si="27"/>
        <v>16.592034714363439</v>
      </c>
      <c r="L237">
        <f t="shared" ca="1" si="28"/>
        <v>15.730996277824001</v>
      </c>
      <c r="M237">
        <f t="shared" ca="1" si="29"/>
        <v>17.500202218643068</v>
      </c>
    </row>
    <row r="238" spans="7:13" x14ac:dyDescent="0.3">
      <c r="G238">
        <f t="shared" ca="1" si="30"/>
        <v>6.289314631920357</v>
      </c>
      <c r="H238">
        <f t="shared" ca="1" si="31"/>
        <v>2.5839010400646343</v>
      </c>
      <c r="J238" t="s">
        <v>24</v>
      </c>
      <c r="K238">
        <f t="shared" ca="1" si="27"/>
        <v>19.815511631600039</v>
      </c>
      <c r="L238">
        <f t="shared" ca="1" si="28"/>
        <v>14.122646676121002</v>
      </c>
      <c r="M238">
        <f t="shared" ca="1" si="29"/>
        <v>27.803180963663742</v>
      </c>
    </row>
    <row r="239" spans="7:13" x14ac:dyDescent="0.3">
      <c r="G239">
        <f t="shared" ca="1" si="30"/>
        <v>0.88989337429055859</v>
      </c>
      <c r="H239">
        <f t="shared" ca="1" si="31"/>
        <v>1.5781275028908472</v>
      </c>
      <c r="J239" t="s">
        <v>23</v>
      </c>
      <c r="K239">
        <f t="shared" ca="1" si="27"/>
        <v>21.338277238351822</v>
      </c>
      <c r="L239">
        <f t="shared" ca="1" si="28"/>
        <v>20.312372955624998</v>
      </c>
      <c r="M239">
        <f t="shared" ca="1" si="29"/>
        <v>22.415996225328929</v>
      </c>
    </row>
    <row r="240" spans="7:13" x14ac:dyDescent="0.3">
      <c r="G240">
        <f t="shared" ca="1" si="30"/>
        <v>10.108384694665952</v>
      </c>
      <c r="H240">
        <f t="shared" ca="1" si="31"/>
        <v>7.3918759227108586</v>
      </c>
      <c r="J240" t="s">
        <v>22</v>
      </c>
      <c r="K240">
        <f t="shared" ca="1" si="27"/>
        <v>5.7047160737269209</v>
      </c>
      <c r="L240">
        <f t="shared" ca="1" si="28"/>
        <v>4.5122043980249993</v>
      </c>
      <c r="M240">
        <f t="shared" ca="1" si="29"/>
        <v>7.2123916851113341</v>
      </c>
    </row>
    <row r="241" spans="7:13" x14ac:dyDescent="0.3">
      <c r="G241">
        <f t="shared" ca="1" si="30"/>
        <v>15.489770698461152</v>
      </c>
      <c r="H241">
        <f t="shared" ca="1" si="31"/>
        <v>14.05752476976213</v>
      </c>
      <c r="J241" t="s">
        <v>21</v>
      </c>
      <c r="K241">
        <f t="shared" ca="1" si="27"/>
        <v>5.6537446249667394</v>
      </c>
      <c r="L241">
        <f t="shared" ca="1" si="28"/>
        <v>3.7339069582239999</v>
      </c>
      <c r="M241">
        <f t="shared" ca="1" si="29"/>
        <v>8.5606922298739025</v>
      </c>
    </row>
    <row r="242" spans="7:13" x14ac:dyDescent="0.3">
      <c r="G242">
        <f t="shared" ca="1" si="30"/>
        <v>42.979465547430749</v>
      </c>
      <c r="H242">
        <f t="shared" ca="1" si="31"/>
        <v>46.828509171477378</v>
      </c>
      <c r="J242" t="s">
        <v>20</v>
      </c>
      <c r="K242">
        <f t="shared" ca="1" si="27"/>
        <v>1.3553336189892859</v>
      </c>
      <c r="L242">
        <f t="shared" ca="1" si="28"/>
        <v>0.56779088336100003</v>
      </c>
      <c r="M242">
        <f t="shared" ca="1" si="29"/>
        <v>3.2352214038538545</v>
      </c>
    </row>
    <row r="243" spans="7:13" x14ac:dyDescent="0.3">
      <c r="J243" t="s">
        <v>19</v>
      </c>
      <c r="K243">
        <f t="shared" ca="1" si="27"/>
        <v>1.5016580335882608</v>
      </c>
      <c r="L243">
        <f t="shared" ca="1" si="28"/>
        <v>0.70927052112400002</v>
      </c>
      <c r="M243">
        <f t="shared" ca="1" si="29"/>
        <v>3.1792902463599364</v>
      </c>
    </row>
    <row r="244" spans="7:13" x14ac:dyDescent="0.3">
      <c r="G244" s="45">
        <f ca="1">SUM(G43:G242)</f>
        <v>3823.2102753710528</v>
      </c>
      <c r="H244" s="46">
        <f ca="1">SUM(H43:H242)</f>
        <v>3783.5974698036025</v>
      </c>
      <c r="I244" s="57" t="s">
        <v>275</v>
      </c>
      <c r="J244" t="s">
        <v>18</v>
      </c>
      <c r="K244">
        <f t="shared" ca="1" si="27"/>
        <v>5.6364103472143476</v>
      </c>
      <c r="L244">
        <f t="shared" ca="1" si="28"/>
        <v>2.9784408658560002</v>
      </c>
      <c r="M244">
        <f t="shared" ca="1" si="29"/>
        <v>10.666359693884523</v>
      </c>
    </row>
    <row r="245" spans="7:13" x14ac:dyDescent="0.3">
      <c r="G245" s="48">
        <f ca="1">G244/'Modello P-C SJF'!C5</f>
        <v>19.116051376855264</v>
      </c>
      <c r="H245" s="49">
        <f ca="1">H244/'Modello P-C SJF'!C5</f>
        <v>18.917987349018013</v>
      </c>
      <c r="I245" s="58" t="s">
        <v>276</v>
      </c>
      <c r="J245" t="s">
        <v>17</v>
      </c>
      <c r="K245">
        <f t="shared" ca="1" si="27"/>
        <v>1.6428638490831105</v>
      </c>
      <c r="L245">
        <f t="shared" ca="1" si="28"/>
        <v>1.1692118526010002</v>
      </c>
      <c r="M245">
        <f t="shared" ca="1" si="29"/>
        <v>2.308394001155599</v>
      </c>
    </row>
    <row r="246" spans="7:13" x14ac:dyDescent="0.3">
      <c r="J246" t="s">
        <v>16</v>
      </c>
      <c r="K246">
        <f t="shared" ca="1" si="27"/>
        <v>5.5376878072879852E-2</v>
      </c>
      <c r="L246">
        <f t="shared" ca="1" si="28"/>
        <v>5.8384881000000007E-3</v>
      </c>
      <c r="M246">
        <f t="shared" ca="1" si="29"/>
        <v>0.52523848170532383</v>
      </c>
    </row>
    <row r="247" spans="7:13" x14ac:dyDescent="0.3">
      <c r="J247" t="s">
        <v>15</v>
      </c>
      <c r="K247">
        <f t="shared" ca="1" si="27"/>
        <v>0</v>
      </c>
      <c r="L247">
        <f t="shared" ca="1" si="28"/>
        <v>0</v>
      </c>
      <c r="M247">
        <f t="shared" ca="1" si="29"/>
        <v>2.2740033715477761</v>
      </c>
    </row>
    <row r="248" spans="7:13" x14ac:dyDescent="0.3">
      <c r="J248" t="s">
        <v>14</v>
      </c>
      <c r="K248">
        <f t="shared" ca="1" si="27"/>
        <v>1.4510611745325959</v>
      </c>
      <c r="L248">
        <f t="shared" ca="1" si="28"/>
        <v>0.39576680999999997</v>
      </c>
      <c r="M248">
        <f t="shared" ca="1" si="29"/>
        <v>5.3202504076476673</v>
      </c>
    </row>
    <row r="249" spans="7:13" x14ac:dyDescent="0.3">
      <c r="J249" t="s">
        <v>13</v>
      </c>
      <c r="K249">
        <f t="shared" ca="1" si="27"/>
        <v>3.8209852914925668</v>
      </c>
      <c r="L249">
        <f t="shared" ca="1" si="28"/>
        <v>3.4010883936159999</v>
      </c>
      <c r="M249">
        <f t="shared" ca="1" si="29"/>
        <v>4.2927224782535127</v>
      </c>
    </row>
    <row r="250" spans="7:13" x14ac:dyDescent="0.3">
      <c r="J250" t="s">
        <v>12</v>
      </c>
      <c r="K250">
        <f t="shared" ca="1" si="27"/>
        <v>2.5078988665970154</v>
      </c>
      <c r="L250">
        <f t="shared" ca="1" si="28"/>
        <v>2.2430903130250002</v>
      </c>
      <c r="M250">
        <f t="shared" ca="1" si="29"/>
        <v>2.8039694561368722</v>
      </c>
    </row>
    <row r="251" spans="7:13" x14ac:dyDescent="0.3">
      <c r="J251" t="s">
        <v>11</v>
      </c>
      <c r="K251">
        <f t="shared" ca="1" si="27"/>
        <v>4.3691758042103457</v>
      </c>
      <c r="L251">
        <f t="shared" ca="1" si="28"/>
        <v>2.8033173247210001</v>
      </c>
      <c r="M251">
        <f t="shared" ca="1" si="29"/>
        <v>6.8096811729999276</v>
      </c>
    </row>
    <row r="252" spans="7:13" x14ac:dyDescent="0.3">
      <c r="J252" t="s">
        <v>10</v>
      </c>
      <c r="K252">
        <f t="shared" ca="1" si="27"/>
        <v>5.557581579249967</v>
      </c>
      <c r="L252">
        <f t="shared" ca="1" si="28"/>
        <v>4.7058668286009997</v>
      </c>
      <c r="M252">
        <f t="shared" ca="1" si="29"/>
        <v>6.5634481669343856</v>
      </c>
    </row>
    <row r="253" spans="7:13" x14ac:dyDescent="0.3">
      <c r="J253" t="s">
        <v>9</v>
      </c>
      <c r="K253">
        <f t="shared" ca="1" si="27"/>
        <v>5.5357026556625781</v>
      </c>
      <c r="L253">
        <f t="shared" ca="1" si="28"/>
        <v>5.1219022382439992</v>
      </c>
      <c r="M253">
        <f t="shared" ca="1" si="29"/>
        <v>5.9829341651815202</v>
      </c>
    </row>
    <row r="254" spans="7:13" x14ac:dyDescent="0.3">
      <c r="J254" t="s">
        <v>8</v>
      </c>
      <c r="K254">
        <f t="shared" ca="1" si="27"/>
        <v>4.3430126964163591</v>
      </c>
      <c r="L254">
        <f t="shared" ca="1" si="28"/>
        <v>3.4654279723560002</v>
      </c>
      <c r="M254">
        <f t="shared" ca="1" si="29"/>
        <v>5.4428369112546777</v>
      </c>
    </row>
    <row r="255" spans="7:13" x14ac:dyDescent="0.3">
      <c r="J255" t="s">
        <v>7</v>
      </c>
      <c r="K255">
        <f t="shared" ref="K255:K262" ca="1" si="32">$D195*$E195</f>
        <v>8.5162457372121718</v>
      </c>
      <c r="L255">
        <f t="shared" ref="L255:L262" ca="1" si="33">$D195^2</f>
        <v>5.4191416890249995</v>
      </c>
      <c r="M255">
        <f t="shared" ref="M255:M262" ca="1" si="34">$E195^2</f>
        <v>13.383381653125459</v>
      </c>
    </row>
    <row r="256" spans="7:13" x14ac:dyDescent="0.3">
      <c r="J256" t="s">
        <v>6</v>
      </c>
      <c r="K256">
        <f t="shared" ca="1" si="32"/>
        <v>13.683172052376211</v>
      </c>
      <c r="L256">
        <f t="shared" ca="1" si="33"/>
        <v>10.5655552209</v>
      </c>
      <c r="M256">
        <f t="shared" ca="1" si="34"/>
        <v>17.720715428619069</v>
      </c>
    </row>
    <row r="257" spans="10:13" x14ac:dyDescent="0.3">
      <c r="J257" t="s">
        <v>5</v>
      </c>
      <c r="K257">
        <f t="shared" ca="1" si="32"/>
        <v>18.764116963953683</v>
      </c>
      <c r="L257">
        <f t="shared" ca="1" si="33"/>
        <v>15.397022601215999</v>
      </c>
      <c r="M257">
        <f t="shared" ca="1" si="34"/>
        <v>22.867543586584553</v>
      </c>
    </row>
    <row r="258" spans="10:13" x14ac:dyDescent="0.3">
      <c r="J258" t="s">
        <v>4</v>
      </c>
      <c r="K258">
        <f t="shared" ca="1" si="32"/>
        <v>26.33756761899004</v>
      </c>
      <c r="L258">
        <f t="shared" ca="1" si="33"/>
        <v>16.386482112483996</v>
      </c>
      <c r="M258">
        <f t="shared" ca="1" si="34"/>
        <v>42.33168921329392</v>
      </c>
    </row>
    <row r="259" spans="10:13" x14ac:dyDescent="0.3">
      <c r="J259" t="s">
        <v>3</v>
      </c>
      <c r="K259">
        <f t="shared" ca="1" si="32"/>
        <v>32.910162543609097</v>
      </c>
      <c r="L259">
        <f t="shared" ca="1" si="33"/>
        <v>31.500504225960995</v>
      </c>
      <c r="M259">
        <f t="shared" ca="1" si="34"/>
        <v>34.382903552196375</v>
      </c>
    </row>
    <row r="260" spans="10:13" x14ac:dyDescent="0.3">
      <c r="J260" t="s">
        <v>2</v>
      </c>
      <c r="K260">
        <f t="shared" ca="1" si="32"/>
        <v>17.597173240603873</v>
      </c>
      <c r="L260">
        <f t="shared" ca="1" si="33"/>
        <v>11.400779262016002</v>
      </c>
      <c r="M260">
        <f t="shared" ca="1" si="34"/>
        <v>27.161345636391847</v>
      </c>
    </row>
    <row r="261" spans="10:13" x14ac:dyDescent="0.3">
      <c r="J261" t="s">
        <v>1</v>
      </c>
      <c r="K261">
        <f t="shared" ca="1" si="32"/>
        <v>10.388473610968502</v>
      </c>
      <c r="L261">
        <f t="shared" ca="1" si="33"/>
        <v>6.8652803482240001</v>
      </c>
      <c r="M261">
        <f t="shared" ca="1" si="34"/>
        <v>15.71973444517924</v>
      </c>
    </row>
    <row r="262" spans="10:13" x14ac:dyDescent="0.3">
      <c r="J262" t="s">
        <v>0</v>
      </c>
      <c r="K262">
        <f t="shared" ca="1" si="32"/>
        <v>0</v>
      </c>
      <c r="L262">
        <f t="shared" ca="1" si="33"/>
        <v>0</v>
      </c>
      <c r="M262">
        <f t="shared" ca="1" si="34"/>
        <v>0.15493611104294994</v>
      </c>
    </row>
    <row r="264" spans="10:13" x14ac:dyDescent="0.3">
      <c r="J264" s="57" t="s">
        <v>275</v>
      </c>
      <c r="K264" s="46">
        <f ca="1">SUM(K63:K262)</f>
        <v>13665.402830404542</v>
      </c>
      <c r="L264" s="46">
        <f ca="1">SUM(L63:L262)</f>
        <v>12419.103384857204</v>
      </c>
      <c r="M264" s="47">
        <f ca="1">SUM(M63:M262)</f>
        <v>15238.930346857529</v>
      </c>
    </row>
    <row r="265" spans="10:13" x14ac:dyDescent="0.3">
      <c r="J265" s="58" t="s">
        <v>276</v>
      </c>
      <c r="K265" s="49">
        <f ca="1">K264/'Modello P-C SJF'!C5</f>
        <v>68.327014152022713</v>
      </c>
      <c r="L265" s="49">
        <f ca="1">L264/'Modello P-C SJF'!C5</f>
        <v>62.095516924286024</v>
      </c>
      <c r="M265" s="50">
        <f ca="1">M264/'Modello P-C SJF'!C5</f>
        <v>76.194651734287646</v>
      </c>
    </row>
  </sheetData>
  <pageMargins left="0.7" right="0.7" top="0.75" bottom="0.75" header="0.3" footer="0.3"/>
  <pageSetup paperSize="9" orientation="portrait" horizontalDpi="30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EE6C4-B58D-47E5-AE55-CA01AABEA926}">
  <sheetPr codeName="Foglio3"/>
  <dimension ref="A1:A2"/>
  <sheetViews>
    <sheetView tabSelected="1" workbookViewId="0">
      <selection activeCell="A3" sqref="A3"/>
    </sheetView>
  </sheetViews>
  <sheetFormatPr defaultRowHeight="14.4" x14ac:dyDescent="0.3"/>
  <sheetData>
    <row r="1" spans="1:1" x14ac:dyDescent="0.3">
      <c r="A1" t="s">
        <v>284</v>
      </c>
    </row>
    <row r="2" spans="1:1" x14ac:dyDescent="0.3">
      <c r="A2" t="s">
        <v>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54E84-13DA-49E6-AECC-848147B2848D}">
  <sheetPr codeName="Foglio7"/>
  <dimension ref="A1:Q65"/>
  <sheetViews>
    <sheetView workbookViewId="0">
      <selection activeCell="P32" sqref="P32"/>
    </sheetView>
  </sheetViews>
  <sheetFormatPr defaultRowHeight="14.4" x14ac:dyDescent="0.3"/>
  <cols>
    <col min="18" max="18" width="9" customWidth="1"/>
  </cols>
  <sheetData>
    <row r="1" spans="1:14" x14ac:dyDescent="0.3">
      <c r="A1" s="71" t="s">
        <v>286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</row>
    <row r="2" spans="1:14" x14ac:dyDescent="0.3">
      <c r="A2" t="s">
        <v>291</v>
      </c>
    </row>
    <row r="4" spans="1:14" x14ac:dyDescent="0.3">
      <c r="A4" s="71" t="s">
        <v>287</v>
      </c>
    </row>
    <row r="5" spans="1:14" x14ac:dyDescent="0.3">
      <c r="A5" s="71" t="s">
        <v>288</v>
      </c>
      <c r="B5" s="71"/>
      <c r="C5" s="71"/>
      <c r="D5" s="71"/>
      <c r="E5" s="71"/>
      <c r="F5" s="71"/>
      <c r="G5" s="71"/>
    </row>
    <row r="6" spans="1:14" x14ac:dyDescent="0.3">
      <c r="A6" s="72" t="s">
        <v>293</v>
      </c>
      <c r="B6" s="72"/>
      <c r="C6" s="72"/>
      <c r="D6" s="72"/>
      <c r="E6" s="72"/>
      <c r="F6" s="72"/>
      <c r="G6" s="72"/>
    </row>
    <row r="22" spans="1:14" x14ac:dyDescent="0.3">
      <c r="A22" s="2" t="s">
        <v>292</v>
      </c>
      <c r="B22" s="2"/>
      <c r="C22" s="2"/>
      <c r="D22" s="2">
        <f ca="1">Correlazione!J18</f>
        <v>4.5333909528966435E-3</v>
      </c>
      <c r="E22" s="2"/>
      <c r="F22" s="2"/>
      <c r="G22" s="2" t="str">
        <f ca="1">Correlazione!L18</f>
        <v>NON CORRELATI</v>
      </c>
      <c r="H22" s="2"/>
    </row>
    <row r="25" spans="1:14" x14ac:dyDescent="0.3">
      <c r="A25" s="71" t="s">
        <v>289</v>
      </c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</row>
    <row r="26" spans="1:14" x14ac:dyDescent="0.3">
      <c r="A26" t="s">
        <v>294</v>
      </c>
    </row>
    <row r="44" spans="1:17" x14ac:dyDescent="0.3">
      <c r="A44" s="2" t="s">
        <v>292</v>
      </c>
      <c r="B44" s="2"/>
      <c r="C44" s="2"/>
      <c r="D44" s="2">
        <f ca="1">Correlazione!Z37</f>
        <v>0.98251594501823414</v>
      </c>
      <c r="E44" s="2"/>
      <c r="F44" s="2"/>
      <c r="G44" s="2" t="str">
        <f ca="1">Correlazione!AB37</f>
        <v>CORRELATI</v>
      </c>
      <c r="H44" s="2"/>
    </row>
    <row r="47" spans="1:17" x14ac:dyDescent="0.3">
      <c r="A47" s="71" t="s">
        <v>290</v>
      </c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</row>
    <row r="48" spans="1:17" x14ac:dyDescent="0.3">
      <c r="A48" t="s">
        <v>295</v>
      </c>
    </row>
    <row r="65" spans="1:17" x14ac:dyDescent="0.3">
      <c r="A65" s="2" t="s">
        <v>292</v>
      </c>
      <c r="B65" s="2"/>
      <c r="C65" s="2"/>
      <c r="D65" s="2">
        <f ca="1">PEARSON(Correlazione!B3:B32,Correlazione!D33:D62)</f>
        <v>-1.0254641360972211E-2</v>
      </c>
      <c r="E65" s="2"/>
      <c r="F65" s="2"/>
      <c r="G65" s="2" t="str">
        <f ca="1">IF((D65^2)&lt;0.04,"NON CORRELATI","CORRELATI")</f>
        <v>NON CORRELATI</v>
      </c>
      <c r="H65" s="2"/>
      <c r="J65" s="2" t="s">
        <v>292</v>
      </c>
      <c r="K65" s="2"/>
      <c r="L65" s="2"/>
      <c r="M65" s="2">
        <f ca="1">PEARSON(Correlazione!B63:B92,Correlazione!D93:D122)</f>
        <v>9.8656655270115717E-2</v>
      </c>
      <c r="N65" s="2"/>
      <c r="O65" s="2"/>
      <c r="P65" s="2" t="str">
        <f ca="1">IF((M65^2)&lt;0.04,"NON CORRELATI","CORRELATI")</f>
        <v>NON CORRELATI</v>
      </c>
      <c r="Q65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Modello P-C SJF</vt:lpstr>
      <vt:lpstr>Confronto SJF - FIFO</vt:lpstr>
      <vt:lpstr>Int conf interarrivi</vt:lpstr>
      <vt:lpstr>Int conf servizi</vt:lpstr>
      <vt:lpstr>Correlazione</vt:lpstr>
      <vt:lpstr>Test d'ipotesi</vt:lpstr>
      <vt:lpstr>Verifica congestione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 M</dc:creator>
  <cp:lastModifiedBy>Doriana Lucente</cp:lastModifiedBy>
  <dcterms:created xsi:type="dcterms:W3CDTF">2019-11-25T10:36:32Z</dcterms:created>
  <dcterms:modified xsi:type="dcterms:W3CDTF">2019-12-20T18:23:17Z</dcterms:modified>
</cp:coreProperties>
</file>